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Dashboard" sheetId="1" state="visible" r:id="rId1"/>
    <sheet name="Table 3 - Strategic Matrix" sheetId="2" state="visible" r:id="rId2"/>
    <sheet name="Assumptions &amp; Levers" sheetId="3" state="visible" r:id="rId3"/>
    <sheet name="S1_Leased_FOC_NonDef" sheetId="4" state="visible" r:id="rId4"/>
    <sheet name="S2_Leased_FOC_Deferred" sheetId="5" state="visible" r:id="rId5"/>
    <sheet name="S3_Leased_Star_NonDef" sheetId="6" state="visible" r:id="rId6"/>
    <sheet name="S4_Leased_Star_Deferred" sheetId="7" state="visible" r:id="rId7"/>
    <sheet name="S5_Own_FOC_NonDef" sheetId="8" state="visible" r:id="rId8"/>
    <sheet name="S6_Own_FOC_Deferred" sheetId="9" state="visible" r:id="rId9"/>
    <sheet name="S7_Own_Star_NonDef" sheetId="10" state="visible" r:id="rId10"/>
    <sheet name="S8_Own_Star_Deferred" sheetId="11" state="visible" r:id="rId11"/>
    <sheet name="S9_M1_Commercial_Hybrid" sheetId="12" state="visible" r:id="rId12"/>
    <sheet name="S10_M2_GIDA_Hybrid" sheetId="13" state="visible" r:id="rId13"/>
    <sheet name="S11_M3_Combined_Hybrid" sheetId="14" state="visible" r:id="rId14"/>
    <sheet name="Master Comparison" sheetId="15" state="visible" r:id="rId15"/>
    <sheet name="ARPU &amp; Breakeven Engine" sheetId="16" state="visible" r:id="rId16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1">
    <numFmt numFmtId="164" formatCode="$#,##0.0 M"/>
    <numFmt numFmtId="165" formatCode="0.0%"/>
    <numFmt numFmtId="166" formatCode="0.0 yrs"/>
    <numFmt numFmtId="167" formatCode="0.0x"/>
    <numFmt numFmtId="168" formatCode="$#,##0.0"/>
    <numFmt numFmtId="169" formatCode="0.0"/>
    <numFmt numFmtId="170" formatCode="0.000"/>
    <numFmt numFmtId="171" formatCode="$#,##0"/>
    <numFmt numFmtId="172" formatCode="$#,##0.00"/>
    <numFmt numFmtId="173" formatCode="\$#,##0.00"/>
    <numFmt numFmtId="174" formatCode="\$#,##0.0"/>
  </numFmts>
  <fonts count="9">
    <font>
      <name val="Calibri"/>
      <family val="2"/>
      <color theme="1"/>
      <sz val="11"/>
      <scheme val="minor"/>
    </font>
    <font>
      <name val="Calibri"/>
      <b val="1"/>
      <color rgb="001F497D"/>
      <sz val="16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497D"/>
      <sz val="14"/>
    </font>
    <font>
      <name val="Calibri"/>
      <b val="1"/>
      <color rgb="001F497D"/>
      <sz val="12"/>
    </font>
    <font>
      <name val="Calibri"/>
      <b val="1"/>
      <color rgb="00595959"/>
      <sz val="9"/>
    </font>
  </fonts>
  <fills count="8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  <fill>
      <patternFill patternType="solid">
        <fgColor rgb="00F2F2F2"/>
        <bgColor rgb="00F2F2F2"/>
      </patternFill>
    </fill>
    <fill>
      <patternFill patternType="solid">
        <fgColor rgb="0000B4D8"/>
        <bgColor rgb="0000B4D8"/>
      </patternFill>
    </fill>
    <fill>
      <patternFill patternType="solid">
        <fgColor rgb="00E2EFDA"/>
        <bgColor rgb="00E2EFDA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/>
    </xf>
    <xf numFmtId="0" fontId="0" fillId="0" borderId="1" pivotButton="0" quotePrefix="0" xfId="0"/>
    <xf numFmtId="164" fontId="6" fillId="4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7" fontId="6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8" fontId="0" fillId="0" borderId="1" pivotButton="0" quotePrefix="0" xfId="0"/>
    <xf numFmtId="165" fontId="0" fillId="0" borderId="1" pivotButton="0" quotePrefix="0" xfId="0"/>
    <xf numFmtId="169" fontId="0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4" borderId="1" pivotButton="0" quotePrefix="0" xfId="0"/>
    <xf numFmtId="0" fontId="0" fillId="4" borderId="1" pivotButton="0" quotePrefix="0" xfId="0"/>
    <xf numFmtId="168" fontId="0" fillId="4" borderId="1" pivotButton="0" quotePrefix="0" xfId="0"/>
    <xf numFmtId="165" fontId="0" fillId="4" borderId="1" pivotButton="0" quotePrefix="0" xfId="0"/>
    <xf numFmtId="169" fontId="0" fillId="4" borderId="1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/>
    </xf>
    <xf numFmtId="167" fontId="0" fillId="4" borderId="1" applyAlignment="1" pivotButton="0" quotePrefix="0" xfId="0">
      <alignment horizontal="center"/>
    </xf>
    <xf numFmtId="0" fontId="5" fillId="0" borderId="1" pivotButton="0" quotePrefix="0" xfId="0"/>
    <xf numFmtId="169" fontId="4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2" fillId="0" borderId="1" pivotButton="0" quotePrefix="0" xfId="0"/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70" fontId="4" fillId="3" borderId="1" applyAlignment="1" pivotButton="0" quotePrefix="0" xfId="0">
      <alignment horizontal="right"/>
    </xf>
    <xf numFmtId="4" fontId="4" fillId="3" borderId="1" applyAlignment="1" pivotButton="0" quotePrefix="0" xfId="0">
      <alignment horizontal="right"/>
    </xf>
    <xf numFmtId="171" fontId="4" fillId="3" borderId="1" applyAlignment="1" pivotButton="0" quotePrefix="0" xfId="0">
      <alignment horizontal="right"/>
    </xf>
    <xf numFmtId="172" fontId="4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49" fontId="4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0" fontId="4" fillId="0" borderId="2" pivotButton="0" quotePrefix="0" xfId="0"/>
    <xf numFmtId="0" fontId="0" fillId="0" borderId="2" applyAlignment="1" pivotButton="0" quotePrefix="0" xfId="0">
      <alignment horizontal="center"/>
    </xf>
    <xf numFmtId="3" fontId="4" fillId="5" borderId="2" pivotButton="0" quotePrefix="0" xfId="0"/>
    <xf numFmtId="0" fontId="0" fillId="0" borderId="1" applyAlignment="1" pivotButton="0" quotePrefix="0" xfId="0">
      <alignment horizontal="center"/>
    </xf>
    <xf numFmtId="3" fontId="5" fillId="0" borderId="1" pivotButton="0" quotePrefix="0" xfId="0"/>
    <xf numFmtId="172" fontId="5" fillId="0" borderId="1" pivotButton="0" quotePrefix="0" xfId="0"/>
    <xf numFmtId="171" fontId="5" fillId="0" borderId="1" pivotButton="0" quotePrefix="0" xfId="0"/>
    <xf numFmtId="171" fontId="4" fillId="5" borderId="2" pivotButton="0" quotePrefix="0" xfId="0"/>
    <xf numFmtId="165" fontId="5" fillId="0" borderId="1" pivotButton="0" quotePrefix="0" xfId="0"/>
    <xf numFmtId="171" fontId="6" fillId="4" borderId="1" pivotButton="0" quotePrefix="0" xfId="0"/>
    <xf numFmtId="165" fontId="6" fillId="4" borderId="1" pivotButton="0" quotePrefix="0" xfId="0"/>
    <xf numFmtId="169" fontId="6" fillId="4" borderId="1" pivotButton="0" quotePrefix="0" xfId="0"/>
    <xf numFmtId="167" fontId="6" fillId="4" borderId="1" pivotButton="0" quotePrefix="0" xfId="0"/>
    <xf numFmtId="0" fontId="3" fillId="6" borderId="0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/>
    </xf>
    <xf numFmtId="0" fontId="0" fillId="0" borderId="5" pivotButton="0" quotePrefix="0" xfId="0"/>
    <xf numFmtId="164" fontId="6" fillId="4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7" fontId="6" fillId="4" borderId="1" applyAlignment="1" pivotButton="0" quotePrefix="0" xfId="0">
      <alignment horizontal="center"/>
    </xf>
    <xf numFmtId="168" fontId="0" fillId="0" borderId="1" pivotButton="0" quotePrefix="0" xfId="0"/>
    <xf numFmtId="169" fontId="0" fillId="0" borderId="1" applyAlignment="1" pivotButton="0" quotePrefix="0" xfId="0">
      <alignment horizontal="center"/>
    </xf>
    <xf numFmtId="168" fontId="0" fillId="4" borderId="1" pivotButton="0" quotePrefix="0" xfId="0"/>
    <xf numFmtId="169" fontId="0" fillId="4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167" fontId="0" fillId="4" borderId="1" applyAlignment="1" pivotButton="0" quotePrefix="0" xfId="0">
      <alignment horizontal="center"/>
    </xf>
    <xf numFmtId="169" fontId="4" fillId="3" borderId="1" applyAlignment="1" pivotButton="0" quotePrefix="0" xfId="0">
      <alignment horizontal="right"/>
    </xf>
    <xf numFmtId="170" fontId="4" fillId="3" borderId="1" applyAlignment="1" pivotButton="0" quotePrefix="0" xfId="0">
      <alignment horizontal="right"/>
    </xf>
    <xf numFmtId="171" fontId="4" fillId="3" borderId="1" applyAlignment="1" pivotButton="0" quotePrefix="0" xfId="0">
      <alignment horizontal="right"/>
    </xf>
    <xf numFmtId="172" fontId="4" fillId="3" borderId="1" applyAlignment="1" pivotButton="0" quotePrefix="0" xfId="0">
      <alignment horizontal="right"/>
    </xf>
    <xf numFmtId="172" fontId="5" fillId="0" borderId="1" pivotButton="0" quotePrefix="0" xfId="0"/>
    <xf numFmtId="171" fontId="5" fillId="0" borderId="1" pivotButton="0" quotePrefix="0" xfId="0"/>
    <xf numFmtId="171" fontId="4" fillId="5" borderId="2" pivotButton="0" quotePrefix="0" xfId="0"/>
    <xf numFmtId="171" fontId="6" fillId="4" borderId="1" pivotButton="0" quotePrefix="0" xfId="0"/>
    <xf numFmtId="169" fontId="6" fillId="4" borderId="1" pivotButton="0" quotePrefix="0" xfId="0"/>
    <xf numFmtId="167" fontId="6" fillId="4" borderId="1" pivotButton="0" quotePrefix="0" xfId="0"/>
    <xf numFmtId="3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65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22" customWidth="1" min="3" max="3"/>
    <col width="36" customWidth="1" min="4" max="4"/>
    <col width="16" customWidth="1" min="5" max="5"/>
    <col width="16" customWidth="1" min="6" max="6"/>
    <col width="14" customWidth="1" min="7" max="7"/>
    <col width="15" customWidth="1" min="8" max="8"/>
    <col width="18" customWidth="1" min="9" max="9"/>
    <col width="16" customWidth="1" min="10" max="10"/>
    <col width="20" customWidth="1" min="11" max="11"/>
  </cols>
  <sheetData>
    <row r="1">
      <c r="A1" s="1" t="inlineStr">
        <is>
          <t>EXECUTIVE BUSINESS CASE DASHBOARD — FWA 5G n50 (Revision 2 Audited)</t>
        </is>
      </c>
    </row>
    <row r="2">
      <c r="A2" s="2" t="inlineStr">
        <is>
          <t>Strategic Decision Framework: 1,000 Sites Day-1 Rollout · Band n50 3-Sector 8T8R MIMO · 11 Evaluated Strategic Scenarios</t>
        </is>
      </c>
    </row>
    <row r="4">
      <c r="A4" s="3" t="inlineStr">
        <is>
          <t>RECOMMENDED ENTERPRISE SCENARIO (Scenario 9: Audited Model 1 Commercial Hybrid)</t>
        </is>
      </c>
    </row>
    <row r="5">
      <c r="A5" s="4" t="inlineStr">
        <is>
          <t>10-Year Project NPV (@12%)</t>
        </is>
      </c>
      <c r="B5" s="58" t="n"/>
      <c r="C5" s="4" t="inlineStr">
        <is>
          <t>10-Year Project IRR</t>
        </is>
      </c>
      <c r="D5" s="58" t="n"/>
      <c r="E5" s="4" t="inlineStr">
        <is>
          <t>Simple Payback Period</t>
        </is>
      </c>
      <c r="F5" s="58" t="n"/>
      <c r="G5" s="4" t="inlineStr">
        <is>
          <t>Peak Funding Requirement</t>
        </is>
      </c>
      <c r="H5" s="58" t="n"/>
      <c r="I5" s="4" t="inlineStr">
        <is>
          <t>10-Year EBITDA Margin</t>
        </is>
      </c>
      <c r="J5" s="58" t="n"/>
      <c r="K5" s="4" t="inlineStr">
        <is>
          <t>Return on Capital (ROI)</t>
        </is>
      </c>
      <c r="L5" s="58" t="n"/>
    </row>
    <row r="6">
      <c r="A6" s="59">
        <f>'Master Comparison'!L13</f>
        <v/>
      </c>
      <c r="B6" s="58" t="n"/>
      <c r="C6" s="7">
        <f>'Master Comparison'!M13</f>
        <v/>
      </c>
      <c r="D6" s="58" t="n"/>
      <c r="E6" s="60">
        <f>'Master Comparison'!N13</f>
        <v/>
      </c>
      <c r="F6" s="58" t="n"/>
      <c r="G6" s="59">
        <f>'Master Comparison'!K13</f>
        <v/>
      </c>
      <c r="H6" s="58" t="n"/>
      <c r="I6" s="7">
        <f>'Master Comparison'!I13</f>
        <v/>
      </c>
      <c r="J6" s="58" t="n"/>
      <c r="K6" s="61">
        <f>'Master Comparison'!O13</f>
        <v/>
      </c>
      <c r="L6" s="58" t="n"/>
    </row>
    <row r="7">
      <c r="A7" s="10" t="inlineStr">
        <is>
          <t>Net Economic Value Created</t>
        </is>
      </c>
      <c r="B7" s="58" t="n"/>
      <c r="C7" s="10" t="inlineStr">
        <is>
          <t>Unlevered Rate of Return</t>
        </is>
      </c>
      <c r="D7" s="58" t="n"/>
      <c r="E7" s="10" t="inlineStr">
        <is>
          <t>Capital Recovery Timeline</t>
        </is>
      </c>
      <c r="F7" s="58" t="n"/>
      <c r="G7" s="10" t="inlineStr">
        <is>
          <t>Maximum Cash Drawdown</t>
        </is>
      </c>
      <c r="H7" s="58" t="n"/>
      <c r="I7" s="10" t="inlineStr">
        <is>
          <t>Operational Profitability</t>
        </is>
      </c>
      <c r="J7" s="58" t="n"/>
      <c r="K7" s="10" t="inlineStr">
        <is>
          <t>Cash Multiple on Peak Invested</t>
        </is>
      </c>
      <c r="L7" s="58" t="n"/>
    </row>
    <row r="9">
      <c r="A9" s="3" t="inlineStr">
        <is>
          <t>EXECUTIVE SUMMARY: ALL 11 SCENARIOS AT A GLANCE (1,000 SITES IN YEAR 1)</t>
        </is>
      </c>
    </row>
    <row r="10">
      <c r="A10" s="11" t="inlineStr">
        <is>
          <t>ID</t>
        </is>
      </c>
      <c r="B10" s="11" t="inlineStr">
        <is>
          <t>Scenario Description</t>
        </is>
      </c>
      <c r="C10" s="11" t="inlineStr">
        <is>
          <t>Tower Model</t>
        </is>
      </c>
      <c r="D10" s="11" t="inlineStr">
        <is>
          <t>Backhaul Architecture</t>
        </is>
      </c>
      <c r="E10" s="11" t="inlineStr">
        <is>
          <t>Payment Terms</t>
        </is>
      </c>
      <c r="F10" s="11" t="inlineStr">
        <is>
          <t>10-Yr NPV ($M)</t>
        </is>
      </c>
      <c r="G10" s="11" t="inlineStr">
        <is>
          <t>IRR (%)</t>
        </is>
      </c>
      <c r="H10" s="11" t="inlineStr">
        <is>
          <t>Payback (Yrs)</t>
        </is>
      </c>
      <c r="I10" s="11" t="inlineStr">
        <is>
          <t>Peak Funding ($M)</t>
        </is>
      </c>
      <c r="J10" s="11" t="inlineStr">
        <is>
          <t>10-Yr FCF ($M)</t>
        </is>
      </c>
      <c r="K10" s="11" t="inlineStr">
        <is>
          <t>Decision Verdict</t>
        </is>
      </c>
    </row>
    <row r="11">
      <c r="A11" s="12">
        <f>'Master Comparison'!A5</f>
        <v/>
      </c>
      <c r="B11" s="13">
        <f>CONCATENATE('Master Comparison'!B5, ' + ', 'Master Comparison'!C5, ' (', 'Master Comparison'!D5, ')')</f>
        <v/>
      </c>
      <c r="C11" s="5">
        <f>'Master Comparison'!B5</f>
        <v/>
      </c>
      <c r="D11" s="5">
        <f>'Master Comparison'!C5</f>
        <v/>
      </c>
      <c r="E11" s="5">
        <f>'Master Comparison'!D5</f>
        <v/>
      </c>
      <c r="F11" s="62">
        <f>'Master Comparison'!L5</f>
        <v/>
      </c>
      <c r="G11" s="15">
        <f>'Master Comparison'!M5</f>
        <v/>
      </c>
      <c r="H11" s="63">
        <f>'Master Comparison'!N5</f>
        <v/>
      </c>
      <c r="I11" s="62">
        <f>'Master Comparison'!K5</f>
        <v/>
      </c>
      <c r="J11" s="62">
        <f>'Master Comparison'!J5</f>
        <v/>
      </c>
      <c r="K11" s="17">
        <f>'Master Comparison'!P5</f>
        <v/>
      </c>
    </row>
    <row r="12">
      <c r="A12" s="12">
        <f>'Master Comparison'!A6</f>
        <v/>
      </c>
      <c r="B12" s="13">
        <f>CONCATENATE('Master Comparison'!B6, ' + ', 'Master Comparison'!C6, ' (', 'Master Comparison'!D6, ')')</f>
        <v/>
      </c>
      <c r="C12" s="5">
        <f>'Master Comparison'!B6</f>
        <v/>
      </c>
      <c r="D12" s="5">
        <f>'Master Comparison'!C6</f>
        <v/>
      </c>
      <c r="E12" s="5">
        <f>'Master Comparison'!D6</f>
        <v/>
      </c>
      <c r="F12" s="62">
        <f>'Master Comparison'!L6</f>
        <v/>
      </c>
      <c r="G12" s="15">
        <f>'Master Comparison'!M6</f>
        <v/>
      </c>
      <c r="H12" s="63">
        <f>'Master Comparison'!N6</f>
        <v/>
      </c>
      <c r="I12" s="62">
        <f>'Master Comparison'!K6</f>
        <v/>
      </c>
      <c r="J12" s="62">
        <f>'Master Comparison'!J6</f>
        <v/>
      </c>
      <c r="K12" s="17">
        <f>'Master Comparison'!P6</f>
        <v/>
      </c>
    </row>
    <row r="13">
      <c r="A13" s="12">
        <f>'Master Comparison'!A7</f>
        <v/>
      </c>
      <c r="B13" s="13">
        <f>CONCATENATE('Master Comparison'!B7, ' + ', 'Master Comparison'!C7, ' (', 'Master Comparison'!D7, ')')</f>
        <v/>
      </c>
      <c r="C13" s="5">
        <f>'Master Comparison'!B7</f>
        <v/>
      </c>
      <c r="D13" s="5">
        <f>'Master Comparison'!C7</f>
        <v/>
      </c>
      <c r="E13" s="5">
        <f>'Master Comparison'!D7</f>
        <v/>
      </c>
      <c r="F13" s="62">
        <f>'Master Comparison'!L7</f>
        <v/>
      </c>
      <c r="G13" s="15">
        <f>'Master Comparison'!M7</f>
        <v/>
      </c>
      <c r="H13" s="63">
        <f>'Master Comparison'!N7</f>
        <v/>
      </c>
      <c r="I13" s="62">
        <f>'Master Comparison'!K7</f>
        <v/>
      </c>
      <c r="J13" s="62">
        <f>'Master Comparison'!J7</f>
        <v/>
      </c>
      <c r="K13" s="18">
        <f>'Master Comparison'!P7</f>
        <v/>
      </c>
    </row>
    <row r="14">
      <c r="A14" s="12">
        <f>'Master Comparison'!A8</f>
        <v/>
      </c>
      <c r="B14" s="13">
        <f>CONCATENATE('Master Comparison'!B8, ' + ', 'Master Comparison'!C8, ' (', 'Master Comparison'!D8, ')')</f>
        <v/>
      </c>
      <c r="C14" s="5">
        <f>'Master Comparison'!B8</f>
        <v/>
      </c>
      <c r="D14" s="5">
        <f>'Master Comparison'!C8</f>
        <v/>
      </c>
      <c r="E14" s="5">
        <f>'Master Comparison'!D8</f>
        <v/>
      </c>
      <c r="F14" s="62">
        <f>'Master Comparison'!L8</f>
        <v/>
      </c>
      <c r="G14" s="15">
        <f>'Master Comparison'!M8</f>
        <v/>
      </c>
      <c r="H14" s="63">
        <f>'Master Comparison'!N8</f>
        <v/>
      </c>
      <c r="I14" s="62">
        <f>'Master Comparison'!K8</f>
        <v/>
      </c>
      <c r="J14" s="62">
        <f>'Master Comparison'!J8</f>
        <v/>
      </c>
      <c r="K14" s="18">
        <f>'Master Comparison'!P8</f>
        <v/>
      </c>
    </row>
    <row r="15">
      <c r="A15" s="12">
        <f>'Master Comparison'!A9</f>
        <v/>
      </c>
      <c r="B15" s="13">
        <f>CONCATENATE('Master Comparison'!B9, ' + ', 'Master Comparison'!C9, ' (', 'Master Comparison'!D9, ')')</f>
        <v/>
      </c>
      <c r="C15" s="5">
        <f>'Master Comparison'!B9</f>
        <v/>
      </c>
      <c r="D15" s="5">
        <f>'Master Comparison'!C9</f>
        <v/>
      </c>
      <c r="E15" s="5">
        <f>'Master Comparison'!D9</f>
        <v/>
      </c>
      <c r="F15" s="62">
        <f>'Master Comparison'!L9</f>
        <v/>
      </c>
      <c r="G15" s="15">
        <f>'Master Comparison'!M9</f>
        <v/>
      </c>
      <c r="H15" s="63">
        <f>'Master Comparison'!N9</f>
        <v/>
      </c>
      <c r="I15" s="62">
        <f>'Master Comparison'!K9</f>
        <v/>
      </c>
      <c r="J15" s="62">
        <f>'Master Comparison'!J9</f>
        <v/>
      </c>
      <c r="K15" s="17">
        <f>'Master Comparison'!P9</f>
        <v/>
      </c>
    </row>
    <row r="16">
      <c r="A16" s="12">
        <f>'Master Comparison'!A10</f>
        <v/>
      </c>
      <c r="B16" s="13">
        <f>CONCATENATE('Master Comparison'!B10, ' + ', 'Master Comparison'!C10, ' (', 'Master Comparison'!D10, ')')</f>
        <v/>
      </c>
      <c r="C16" s="5">
        <f>'Master Comparison'!B10</f>
        <v/>
      </c>
      <c r="D16" s="5">
        <f>'Master Comparison'!C10</f>
        <v/>
      </c>
      <c r="E16" s="5">
        <f>'Master Comparison'!D10</f>
        <v/>
      </c>
      <c r="F16" s="62">
        <f>'Master Comparison'!L10</f>
        <v/>
      </c>
      <c r="G16" s="15">
        <f>'Master Comparison'!M10</f>
        <v/>
      </c>
      <c r="H16" s="63">
        <f>'Master Comparison'!N10</f>
        <v/>
      </c>
      <c r="I16" s="62">
        <f>'Master Comparison'!K10</f>
        <v/>
      </c>
      <c r="J16" s="62">
        <f>'Master Comparison'!J10</f>
        <v/>
      </c>
      <c r="K16" s="17">
        <f>'Master Comparison'!P10</f>
        <v/>
      </c>
    </row>
    <row r="17">
      <c r="A17" s="12">
        <f>'Master Comparison'!A11</f>
        <v/>
      </c>
      <c r="B17" s="13">
        <f>CONCATENATE('Master Comparison'!B11, ' + ', 'Master Comparison'!C11, ' (', 'Master Comparison'!D11, ')')</f>
        <v/>
      </c>
      <c r="C17" s="5">
        <f>'Master Comparison'!B11</f>
        <v/>
      </c>
      <c r="D17" s="5">
        <f>'Master Comparison'!C11</f>
        <v/>
      </c>
      <c r="E17" s="5">
        <f>'Master Comparison'!D11</f>
        <v/>
      </c>
      <c r="F17" s="62">
        <f>'Master Comparison'!L11</f>
        <v/>
      </c>
      <c r="G17" s="15">
        <f>'Master Comparison'!M11</f>
        <v/>
      </c>
      <c r="H17" s="63">
        <f>'Master Comparison'!N11</f>
        <v/>
      </c>
      <c r="I17" s="62">
        <f>'Master Comparison'!K11</f>
        <v/>
      </c>
      <c r="J17" s="62">
        <f>'Master Comparison'!J11</f>
        <v/>
      </c>
      <c r="K17" s="17">
        <f>'Master Comparison'!P11</f>
        <v/>
      </c>
    </row>
    <row r="18">
      <c r="A18" s="12">
        <f>'Master Comparison'!A12</f>
        <v/>
      </c>
      <c r="B18" s="13">
        <f>CONCATENATE('Master Comparison'!B12, ' + ', 'Master Comparison'!C12, ' (', 'Master Comparison'!D12, ')')</f>
        <v/>
      </c>
      <c r="C18" s="5">
        <f>'Master Comparison'!B12</f>
        <v/>
      </c>
      <c r="D18" s="5">
        <f>'Master Comparison'!C12</f>
        <v/>
      </c>
      <c r="E18" s="5">
        <f>'Master Comparison'!D12</f>
        <v/>
      </c>
      <c r="F18" s="62">
        <f>'Master Comparison'!L12</f>
        <v/>
      </c>
      <c r="G18" s="15">
        <f>'Master Comparison'!M12</f>
        <v/>
      </c>
      <c r="H18" s="63">
        <f>'Master Comparison'!N12</f>
        <v/>
      </c>
      <c r="I18" s="62">
        <f>'Master Comparison'!K12</f>
        <v/>
      </c>
      <c r="J18" s="62">
        <f>'Master Comparison'!J12</f>
        <v/>
      </c>
      <c r="K18" s="17">
        <f>'Master Comparison'!P12</f>
        <v/>
      </c>
    </row>
    <row r="19">
      <c r="A19" s="19">
        <f>'Master Comparison'!A13</f>
        <v/>
      </c>
      <c r="B19" s="20">
        <f>CONCATENATE('Master Comparison'!B13, ' + ', 'Master Comparison'!C13, ' (', 'Master Comparison'!D13, ')')</f>
        <v/>
      </c>
      <c r="C19" s="21">
        <f>'Master Comparison'!B13</f>
        <v/>
      </c>
      <c r="D19" s="21">
        <f>'Master Comparison'!C13</f>
        <v/>
      </c>
      <c r="E19" s="21">
        <f>'Master Comparison'!D13</f>
        <v/>
      </c>
      <c r="F19" s="64">
        <f>'Master Comparison'!L13</f>
        <v/>
      </c>
      <c r="G19" s="23">
        <f>'Master Comparison'!M13</f>
        <v/>
      </c>
      <c r="H19" s="65">
        <f>'Master Comparison'!N13</f>
        <v/>
      </c>
      <c r="I19" s="64">
        <f>'Master Comparison'!K13</f>
        <v/>
      </c>
      <c r="J19" s="64">
        <f>'Master Comparison'!J13</f>
        <v/>
      </c>
      <c r="K19" s="18">
        <f>'Master Comparison'!P13</f>
        <v/>
      </c>
    </row>
    <row r="20">
      <c r="A20" s="19">
        <f>'Master Comparison'!A14</f>
        <v/>
      </c>
      <c r="B20" s="20">
        <f>CONCATENATE('Master Comparison'!B14, ' + ', 'Master Comparison'!C14, ' (', 'Master Comparison'!D14, ')')</f>
        <v/>
      </c>
      <c r="C20" s="21">
        <f>'Master Comparison'!B14</f>
        <v/>
      </c>
      <c r="D20" s="21">
        <f>'Master Comparison'!C14</f>
        <v/>
      </c>
      <c r="E20" s="21">
        <f>'Master Comparison'!D14</f>
        <v/>
      </c>
      <c r="F20" s="64">
        <f>'Master Comparison'!L14</f>
        <v/>
      </c>
      <c r="G20" s="23">
        <f>'Master Comparison'!M14</f>
        <v/>
      </c>
      <c r="H20" s="65">
        <f>'Master Comparison'!N14</f>
        <v/>
      </c>
      <c r="I20" s="64">
        <f>'Master Comparison'!K14</f>
        <v/>
      </c>
      <c r="J20" s="64">
        <f>'Master Comparison'!J14</f>
        <v/>
      </c>
      <c r="K20" s="18">
        <f>'Master Comparison'!P14</f>
        <v/>
      </c>
    </row>
    <row r="21">
      <c r="A21" s="19">
        <f>'Master Comparison'!A15</f>
        <v/>
      </c>
      <c r="B21" s="20">
        <f>CONCATENATE('Master Comparison'!B15, ' + ', 'Master Comparison'!C15, ' (', 'Master Comparison'!D15, ')')</f>
        <v/>
      </c>
      <c r="C21" s="21">
        <f>'Master Comparison'!B15</f>
        <v/>
      </c>
      <c r="D21" s="21">
        <f>'Master Comparison'!C15</f>
        <v/>
      </c>
      <c r="E21" s="21">
        <f>'Master Comparison'!D15</f>
        <v/>
      </c>
      <c r="F21" s="64">
        <f>'Master Comparison'!L15</f>
        <v/>
      </c>
      <c r="G21" s="23">
        <f>'Master Comparison'!M15</f>
        <v/>
      </c>
      <c r="H21" s="65">
        <f>'Master Comparison'!N15</f>
        <v/>
      </c>
      <c r="I21" s="64">
        <f>'Master Comparison'!K15</f>
        <v/>
      </c>
      <c r="J21" s="64">
        <f>'Master Comparison'!J15</f>
        <v/>
      </c>
      <c r="K21" s="18">
        <f>'Master Comparison'!P15</f>
        <v/>
      </c>
    </row>
  </sheetData>
  <mergeCells count="18">
    <mergeCell ref="K7:L7"/>
    <mergeCell ref="E6:F6"/>
    <mergeCell ref="C6:D6"/>
    <mergeCell ref="C7:D7"/>
    <mergeCell ref="A7:B7"/>
    <mergeCell ref="G7:H7"/>
    <mergeCell ref="E7:F7"/>
    <mergeCell ref="I6:J6"/>
    <mergeCell ref="I7:J7"/>
    <mergeCell ref="C5:D5"/>
    <mergeCell ref="A5:B5"/>
    <mergeCell ref="G5:H5"/>
    <mergeCell ref="E5:F5"/>
    <mergeCell ref="K5:L5"/>
    <mergeCell ref="I5:J5"/>
    <mergeCell ref="G6:H6"/>
    <mergeCell ref="K6:L6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6" customWidth="1" min="3" max="3"/>
    <col width="18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</cols>
  <sheetData>
    <row r="1">
      <c r="A1" s="1" t="inlineStr">
        <is>
          <t>FWA 5G n50 (80 MHz) — Table 3: Strategic Financial Matrix (Revision 2 Audited)</t>
        </is>
      </c>
    </row>
    <row r="2">
      <c r="A2" s="2" t="inlineStr">
        <is>
          <t>Full 10-Year Lifecycle Comparison across Classic Boundary Scenarios (S1-S8) and Audited Siting Hybrid Scenarios (S9-S11)</t>
        </is>
      </c>
    </row>
    <row r="4">
      <c r="A4" s="25" t="inlineStr">
        <is>
          <t>Scenario ID</t>
        </is>
      </c>
      <c r="B4" s="25" t="inlineStr">
        <is>
          <t>Tower Infrastructure</t>
        </is>
      </c>
      <c r="C4" s="25" t="inlineStr">
        <is>
          <t>Backhaul Technology</t>
        </is>
      </c>
      <c r="D4" s="25" t="inlineStr">
        <is>
          <t>Payment Terms</t>
        </is>
      </c>
      <c r="E4" s="25" t="inlineStr">
        <is>
          <t>10-Yr Total Revenue ($M)</t>
        </is>
      </c>
      <c r="F4" s="25" t="inlineStr">
        <is>
          <t>10-Yr Total OPEX ($M)</t>
        </is>
      </c>
      <c r="G4" s="25" t="inlineStr">
        <is>
          <t>10-Yr Total CAPEX ($M)</t>
        </is>
      </c>
      <c r="H4" s="25" t="inlineStr">
        <is>
          <t>10-Yr EBITDA ($M)</t>
        </is>
      </c>
      <c r="I4" s="25" t="inlineStr">
        <is>
          <t>EBITDA Margin (%)</t>
        </is>
      </c>
      <c r="J4" s="25" t="inlineStr">
        <is>
          <t>10-Yr Free Cash Flow ($M)</t>
        </is>
      </c>
      <c r="K4" s="25" t="inlineStr">
        <is>
          <t>Peak Funding Deficit ($M)</t>
        </is>
      </c>
      <c r="L4" s="25" t="inlineStr">
        <is>
          <t>10-Yr NPV @ 12% ($M)</t>
        </is>
      </c>
      <c r="M4" s="25" t="inlineStr">
        <is>
          <t>10-Yr Project IRR (%)</t>
        </is>
      </c>
      <c r="N4" s="25" t="inlineStr">
        <is>
          <t>Simple Payback (Yrs)</t>
        </is>
      </c>
      <c r="O4" s="25" t="inlineStr">
        <is>
          <t>ROI (Cash / Peak)</t>
        </is>
      </c>
      <c r="P4" s="25" t="inlineStr">
        <is>
          <t>Decision Verdict</t>
        </is>
      </c>
    </row>
    <row r="5">
      <c r="A5" s="12" t="inlineStr">
        <is>
          <t>S1</t>
        </is>
      </c>
      <c r="B5" s="5" t="inlineStr">
        <is>
          <t>Leased Towers</t>
        </is>
      </c>
      <c r="C5" s="5" t="inlineStr">
        <is>
          <t>FOC Backhaul (100% Leased)</t>
        </is>
      </c>
      <c r="D5" s="5" t="inlineStr">
        <is>
          <t>Non-Deferred</t>
        </is>
      </c>
      <c r="E5" s="62">
        <f>'Master Comparison'!E5</f>
        <v/>
      </c>
      <c r="F5" s="62">
        <f>'Master Comparison'!F5</f>
        <v/>
      </c>
      <c r="G5" s="62">
        <f>'Master Comparison'!G5</f>
        <v/>
      </c>
      <c r="H5" s="62">
        <f>'Master Comparison'!H5</f>
        <v/>
      </c>
      <c r="I5" s="15">
        <f>'Master Comparison'!I5</f>
        <v/>
      </c>
      <c r="J5" s="62">
        <f>'Master Comparison'!J5</f>
        <v/>
      </c>
      <c r="K5" s="62">
        <f>'Master Comparison'!K5</f>
        <v/>
      </c>
      <c r="L5" s="62">
        <f>'Master Comparison'!L5</f>
        <v/>
      </c>
      <c r="M5" s="15">
        <f>'Master Comparison'!M5</f>
        <v/>
      </c>
      <c r="N5" s="63">
        <f>'Master Comparison'!N5</f>
        <v/>
      </c>
      <c r="O5" s="66">
        <f>'Master Comparison'!O5</f>
        <v/>
      </c>
      <c r="P5" s="17">
        <f>'Master Comparison'!P5</f>
        <v/>
      </c>
    </row>
    <row r="6">
      <c r="A6" s="12" t="inlineStr">
        <is>
          <t>S2</t>
        </is>
      </c>
      <c r="B6" s="5" t="inlineStr">
        <is>
          <t>Leased Towers</t>
        </is>
      </c>
      <c r="C6" s="5" t="inlineStr">
        <is>
          <t>FOC Backhaul (100% Leased)</t>
        </is>
      </c>
      <c r="D6" s="5" t="inlineStr">
        <is>
          <t>Deferred</t>
        </is>
      </c>
      <c r="E6" s="62">
        <f>'Master Comparison'!E6</f>
        <v/>
      </c>
      <c r="F6" s="62">
        <f>'Master Comparison'!F6</f>
        <v/>
      </c>
      <c r="G6" s="62">
        <f>'Master Comparison'!G6</f>
        <v/>
      </c>
      <c r="H6" s="62">
        <f>'Master Comparison'!H6</f>
        <v/>
      </c>
      <c r="I6" s="15">
        <f>'Master Comparison'!I6</f>
        <v/>
      </c>
      <c r="J6" s="62">
        <f>'Master Comparison'!J6</f>
        <v/>
      </c>
      <c r="K6" s="62">
        <f>'Master Comparison'!K6</f>
        <v/>
      </c>
      <c r="L6" s="62">
        <f>'Master Comparison'!L6</f>
        <v/>
      </c>
      <c r="M6" s="15">
        <f>'Master Comparison'!M6</f>
        <v/>
      </c>
      <c r="N6" s="63">
        <f>'Master Comparison'!N6</f>
        <v/>
      </c>
      <c r="O6" s="66">
        <f>'Master Comparison'!O6</f>
        <v/>
      </c>
      <c r="P6" s="17">
        <f>'Master Comparison'!P6</f>
        <v/>
      </c>
    </row>
    <row r="7">
      <c r="A7" s="12" t="inlineStr">
        <is>
          <t>S3</t>
        </is>
      </c>
      <c r="B7" s="5" t="inlineStr">
        <is>
          <t>Leased Towers</t>
        </is>
      </c>
      <c r="C7" s="5" t="inlineStr">
        <is>
          <t>Starlink Backhaul (100% LEO)</t>
        </is>
      </c>
      <c r="D7" s="5" t="inlineStr">
        <is>
          <t>Non-Deferred</t>
        </is>
      </c>
      <c r="E7" s="62">
        <f>'Master Comparison'!E7</f>
        <v/>
      </c>
      <c r="F7" s="62">
        <f>'Master Comparison'!F7</f>
        <v/>
      </c>
      <c r="G7" s="62">
        <f>'Master Comparison'!G7</f>
        <v/>
      </c>
      <c r="H7" s="62">
        <f>'Master Comparison'!H7</f>
        <v/>
      </c>
      <c r="I7" s="15">
        <f>'Master Comparison'!I7</f>
        <v/>
      </c>
      <c r="J7" s="62">
        <f>'Master Comparison'!J7</f>
        <v/>
      </c>
      <c r="K7" s="62">
        <f>'Master Comparison'!K7</f>
        <v/>
      </c>
      <c r="L7" s="62">
        <f>'Master Comparison'!L7</f>
        <v/>
      </c>
      <c r="M7" s="15">
        <f>'Master Comparison'!M7</f>
        <v/>
      </c>
      <c r="N7" s="63">
        <f>'Master Comparison'!N7</f>
        <v/>
      </c>
      <c r="O7" s="66">
        <f>'Master Comparison'!O7</f>
        <v/>
      </c>
      <c r="P7" s="18">
        <f>'Master Comparison'!P7</f>
        <v/>
      </c>
    </row>
    <row r="8">
      <c r="A8" s="12" t="inlineStr">
        <is>
          <t>S4</t>
        </is>
      </c>
      <c r="B8" s="5" t="inlineStr">
        <is>
          <t>Leased Towers</t>
        </is>
      </c>
      <c r="C8" s="5" t="inlineStr">
        <is>
          <t>Starlink Backhaul (100% LEO)</t>
        </is>
      </c>
      <c r="D8" s="5" t="inlineStr">
        <is>
          <t>Deferred</t>
        </is>
      </c>
      <c r="E8" s="62">
        <f>'Master Comparison'!E8</f>
        <v/>
      </c>
      <c r="F8" s="62">
        <f>'Master Comparison'!F8</f>
        <v/>
      </c>
      <c r="G8" s="62">
        <f>'Master Comparison'!G8</f>
        <v/>
      </c>
      <c r="H8" s="62">
        <f>'Master Comparison'!H8</f>
        <v/>
      </c>
      <c r="I8" s="15">
        <f>'Master Comparison'!I8</f>
        <v/>
      </c>
      <c r="J8" s="62">
        <f>'Master Comparison'!J8</f>
        <v/>
      </c>
      <c r="K8" s="62">
        <f>'Master Comparison'!K8</f>
        <v/>
      </c>
      <c r="L8" s="62">
        <f>'Master Comparison'!L8</f>
        <v/>
      </c>
      <c r="M8" s="15">
        <f>'Master Comparison'!M8</f>
        <v/>
      </c>
      <c r="N8" s="63">
        <f>'Master Comparison'!N8</f>
        <v/>
      </c>
      <c r="O8" s="66">
        <f>'Master Comparison'!O8</f>
        <v/>
      </c>
      <c r="P8" s="18">
        <f>'Master Comparison'!P8</f>
        <v/>
      </c>
    </row>
    <row r="9">
      <c r="A9" s="12" t="inlineStr">
        <is>
          <t>S5</t>
        </is>
      </c>
      <c r="B9" s="5" t="inlineStr">
        <is>
          <t>Own Build (Monopoles)</t>
        </is>
      </c>
      <c r="C9" s="5" t="inlineStr">
        <is>
          <t>FOC Backhaul (100% Leased)</t>
        </is>
      </c>
      <c r="D9" s="5" t="inlineStr">
        <is>
          <t>Non-Deferred</t>
        </is>
      </c>
      <c r="E9" s="62">
        <f>'Master Comparison'!E9</f>
        <v/>
      </c>
      <c r="F9" s="62">
        <f>'Master Comparison'!F9</f>
        <v/>
      </c>
      <c r="G9" s="62">
        <f>'Master Comparison'!G9</f>
        <v/>
      </c>
      <c r="H9" s="62">
        <f>'Master Comparison'!H9</f>
        <v/>
      </c>
      <c r="I9" s="15">
        <f>'Master Comparison'!I9</f>
        <v/>
      </c>
      <c r="J9" s="62">
        <f>'Master Comparison'!J9</f>
        <v/>
      </c>
      <c r="K9" s="62">
        <f>'Master Comparison'!K9</f>
        <v/>
      </c>
      <c r="L9" s="62">
        <f>'Master Comparison'!L9</f>
        <v/>
      </c>
      <c r="M9" s="15">
        <f>'Master Comparison'!M9</f>
        <v/>
      </c>
      <c r="N9" s="63">
        <f>'Master Comparison'!N9</f>
        <v/>
      </c>
      <c r="O9" s="66">
        <f>'Master Comparison'!O9</f>
        <v/>
      </c>
      <c r="P9" s="17">
        <f>'Master Comparison'!P9</f>
        <v/>
      </c>
    </row>
    <row r="10">
      <c r="A10" s="12" t="inlineStr">
        <is>
          <t>S6</t>
        </is>
      </c>
      <c r="B10" s="5" t="inlineStr">
        <is>
          <t>Own Build (Monopoles)</t>
        </is>
      </c>
      <c r="C10" s="5" t="inlineStr">
        <is>
          <t>FOC Backhaul (100% Leased)</t>
        </is>
      </c>
      <c r="D10" s="5" t="inlineStr">
        <is>
          <t>Deferred</t>
        </is>
      </c>
      <c r="E10" s="62">
        <f>'Master Comparison'!E10</f>
        <v/>
      </c>
      <c r="F10" s="62">
        <f>'Master Comparison'!F10</f>
        <v/>
      </c>
      <c r="G10" s="62">
        <f>'Master Comparison'!G10</f>
        <v/>
      </c>
      <c r="H10" s="62">
        <f>'Master Comparison'!H10</f>
        <v/>
      </c>
      <c r="I10" s="15">
        <f>'Master Comparison'!I10</f>
        <v/>
      </c>
      <c r="J10" s="62">
        <f>'Master Comparison'!J10</f>
        <v/>
      </c>
      <c r="K10" s="62">
        <f>'Master Comparison'!K10</f>
        <v/>
      </c>
      <c r="L10" s="62">
        <f>'Master Comparison'!L10</f>
        <v/>
      </c>
      <c r="M10" s="15">
        <f>'Master Comparison'!M10</f>
        <v/>
      </c>
      <c r="N10" s="63">
        <f>'Master Comparison'!N10</f>
        <v/>
      </c>
      <c r="O10" s="66">
        <f>'Master Comparison'!O10</f>
        <v/>
      </c>
      <c r="P10" s="17">
        <f>'Master Comparison'!P10</f>
        <v/>
      </c>
    </row>
    <row r="11">
      <c r="A11" s="12" t="inlineStr">
        <is>
          <t>S7</t>
        </is>
      </c>
      <c r="B11" s="5" t="inlineStr">
        <is>
          <t>Own Build (Monopoles)</t>
        </is>
      </c>
      <c r="C11" s="5" t="inlineStr">
        <is>
          <t>Starlink Backhaul (100% LEO)</t>
        </is>
      </c>
      <c r="D11" s="5" t="inlineStr">
        <is>
          <t>Non-Deferred</t>
        </is>
      </c>
      <c r="E11" s="62">
        <f>'Master Comparison'!E11</f>
        <v/>
      </c>
      <c r="F11" s="62">
        <f>'Master Comparison'!F11</f>
        <v/>
      </c>
      <c r="G11" s="62">
        <f>'Master Comparison'!G11</f>
        <v/>
      </c>
      <c r="H11" s="62">
        <f>'Master Comparison'!H11</f>
        <v/>
      </c>
      <c r="I11" s="15">
        <f>'Master Comparison'!I11</f>
        <v/>
      </c>
      <c r="J11" s="62">
        <f>'Master Comparison'!J11</f>
        <v/>
      </c>
      <c r="K11" s="62">
        <f>'Master Comparison'!K11</f>
        <v/>
      </c>
      <c r="L11" s="62">
        <f>'Master Comparison'!L11</f>
        <v/>
      </c>
      <c r="M11" s="15">
        <f>'Master Comparison'!M11</f>
        <v/>
      </c>
      <c r="N11" s="63">
        <f>'Master Comparison'!N11</f>
        <v/>
      </c>
      <c r="O11" s="66">
        <f>'Master Comparison'!O11</f>
        <v/>
      </c>
      <c r="P11" s="17">
        <f>'Master Comparison'!P11</f>
        <v/>
      </c>
    </row>
    <row r="12">
      <c r="A12" s="12" t="inlineStr">
        <is>
          <t>S8</t>
        </is>
      </c>
      <c r="B12" s="5" t="inlineStr">
        <is>
          <t>Own Build (Monopoles)</t>
        </is>
      </c>
      <c r="C12" s="5" t="inlineStr">
        <is>
          <t>Starlink Backhaul (100% LEO)</t>
        </is>
      </c>
      <c r="D12" s="5" t="inlineStr">
        <is>
          <t>Deferred</t>
        </is>
      </c>
      <c r="E12" s="62">
        <f>'Master Comparison'!E12</f>
        <v/>
      </c>
      <c r="F12" s="62">
        <f>'Master Comparison'!F12</f>
        <v/>
      </c>
      <c r="G12" s="62">
        <f>'Master Comparison'!G12</f>
        <v/>
      </c>
      <c r="H12" s="62">
        <f>'Master Comparison'!H12</f>
        <v/>
      </c>
      <c r="I12" s="15">
        <f>'Master Comparison'!I12</f>
        <v/>
      </c>
      <c r="J12" s="62">
        <f>'Master Comparison'!J12</f>
        <v/>
      </c>
      <c r="K12" s="62">
        <f>'Master Comparison'!K12</f>
        <v/>
      </c>
      <c r="L12" s="62">
        <f>'Master Comparison'!L12</f>
        <v/>
      </c>
      <c r="M12" s="15">
        <f>'Master Comparison'!M12</f>
        <v/>
      </c>
      <c r="N12" s="63">
        <f>'Master Comparison'!N12</f>
        <v/>
      </c>
      <c r="O12" s="66">
        <f>'Master Comparison'!O12</f>
        <v/>
      </c>
      <c r="P12" s="17">
        <f>'Master Comparison'!P12</f>
        <v/>
      </c>
    </row>
    <row r="13">
      <c r="A13" s="19" t="inlineStr">
        <is>
          <t>S9</t>
        </is>
      </c>
      <c r="B13" s="21" t="inlineStr">
        <is>
          <t>Leased Towers</t>
        </is>
      </c>
      <c r="C13" s="21" t="inlineStr">
        <is>
          <t>Audited Model 1 Commercial (98% Fiber)</t>
        </is>
      </c>
      <c r="D13" s="21" t="inlineStr">
        <is>
          <t>Deferred</t>
        </is>
      </c>
      <c r="E13" s="64">
        <f>'Master Comparison'!E13</f>
        <v/>
      </c>
      <c r="F13" s="64">
        <f>'Master Comparison'!F13</f>
        <v/>
      </c>
      <c r="G13" s="64">
        <f>'Master Comparison'!G13</f>
        <v/>
      </c>
      <c r="H13" s="64">
        <f>'Master Comparison'!H13</f>
        <v/>
      </c>
      <c r="I13" s="23">
        <f>'Master Comparison'!I13</f>
        <v/>
      </c>
      <c r="J13" s="64">
        <f>'Master Comparison'!J13</f>
        <v/>
      </c>
      <c r="K13" s="64">
        <f>'Master Comparison'!K13</f>
        <v/>
      </c>
      <c r="L13" s="64">
        <f>'Master Comparison'!L13</f>
        <v/>
      </c>
      <c r="M13" s="23">
        <f>'Master Comparison'!M13</f>
        <v/>
      </c>
      <c r="N13" s="65">
        <f>'Master Comparison'!N13</f>
        <v/>
      </c>
      <c r="O13" s="67">
        <f>'Master Comparison'!O13</f>
        <v/>
      </c>
      <c r="P13" s="18">
        <f>'Master Comparison'!P13</f>
        <v/>
      </c>
    </row>
    <row r="14">
      <c r="A14" s="19" t="inlineStr">
        <is>
          <t>S10</t>
        </is>
      </c>
      <c r="B14" s="21" t="inlineStr">
        <is>
          <t>Leased Towers</t>
        </is>
      </c>
      <c r="C14" s="21" t="inlineStr">
        <is>
          <t>Audited Model 2 GIDA (66% Starlink)</t>
        </is>
      </c>
      <c r="D14" s="21" t="inlineStr">
        <is>
          <t>Deferred</t>
        </is>
      </c>
      <c r="E14" s="64">
        <f>'Master Comparison'!E14</f>
        <v/>
      </c>
      <c r="F14" s="64">
        <f>'Master Comparison'!F14</f>
        <v/>
      </c>
      <c r="G14" s="64">
        <f>'Master Comparison'!G14</f>
        <v/>
      </c>
      <c r="H14" s="64">
        <f>'Master Comparison'!H14</f>
        <v/>
      </c>
      <c r="I14" s="23">
        <f>'Master Comparison'!I14</f>
        <v/>
      </c>
      <c r="J14" s="64">
        <f>'Master Comparison'!J14</f>
        <v/>
      </c>
      <c r="K14" s="64">
        <f>'Master Comparison'!K14</f>
        <v/>
      </c>
      <c r="L14" s="64">
        <f>'Master Comparison'!L14</f>
        <v/>
      </c>
      <c r="M14" s="23">
        <f>'Master Comparison'!M14</f>
        <v/>
      </c>
      <c r="N14" s="65">
        <f>'Master Comparison'!N14</f>
        <v/>
      </c>
      <c r="O14" s="67">
        <f>'Master Comparison'!O14</f>
        <v/>
      </c>
      <c r="P14" s="18">
        <f>'Master Comparison'!P14</f>
        <v/>
      </c>
    </row>
    <row r="15">
      <c r="A15" s="19" t="inlineStr">
        <is>
          <t>S11</t>
        </is>
      </c>
      <c r="B15" s="21" t="inlineStr">
        <is>
          <t>Leased Towers</t>
        </is>
      </c>
      <c r="C15" s="21" t="inlineStr">
        <is>
          <t>Audited Model 3 Combined (60% Fiber)</t>
        </is>
      </c>
      <c r="D15" s="21" t="inlineStr">
        <is>
          <t>Deferred</t>
        </is>
      </c>
      <c r="E15" s="64">
        <f>'Master Comparison'!E15</f>
        <v/>
      </c>
      <c r="F15" s="64">
        <f>'Master Comparison'!F15</f>
        <v/>
      </c>
      <c r="G15" s="64">
        <f>'Master Comparison'!G15</f>
        <v/>
      </c>
      <c r="H15" s="64">
        <f>'Master Comparison'!H15</f>
        <v/>
      </c>
      <c r="I15" s="23">
        <f>'Master Comparison'!I15</f>
        <v/>
      </c>
      <c r="J15" s="64">
        <f>'Master Comparison'!J15</f>
        <v/>
      </c>
      <c r="K15" s="64">
        <f>'Master Comparison'!K15</f>
        <v/>
      </c>
      <c r="L15" s="64">
        <f>'Master Comparison'!L15</f>
        <v/>
      </c>
      <c r="M15" s="23">
        <f>'Master Comparison'!M15</f>
        <v/>
      </c>
      <c r="N15" s="65">
        <f>'Master Comparison'!N15</f>
        <v/>
      </c>
      <c r="O15" s="67">
        <f>'Master Comparison'!O15</f>
        <v/>
      </c>
      <c r="P15" s="18">
        <f>'Master Comparison'!P15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46" customWidth="1" min="2" max="2"/>
    <col width="20" customWidth="1" min="3" max="3"/>
    <col width="16" customWidth="1" min="4" max="4"/>
    <col width="68" customWidth="1" min="5" max="5"/>
  </cols>
  <sheetData>
    <row r="1">
      <c r="A1" s="1" t="inlineStr">
        <is>
          <t>FWA 5G n50 (80 MHz) — Central Model Assumptions &amp; Levers (Revision 2 Audited)</t>
        </is>
      </c>
    </row>
    <row r="2">
      <c r="A2" s="2" t="inlineStr">
        <is>
          <t>Revision 2 Audited Edition | Author: OLIVER TUNGOL | Ingests Codex Optical Spatial Audit across 5,000 Sites</t>
        </is>
      </c>
    </row>
    <row r="4">
      <c r="A4" s="11" t="inlineStr">
        <is>
          <t>Category</t>
        </is>
      </c>
      <c r="B4" s="11" t="inlineStr">
        <is>
          <t>Assumption / Parameter</t>
        </is>
      </c>
      <c r="C4" s="11" t="inlineStr">
        <is>
          <t>Default Value</t>
        </is>
      </c>
      <c r="D4" s="11" t="inlineStr">
        <is>
          <t>Unit</t>
        </is>
      </c>
      <c r="E4" s="11" t="inlineStr">
        <is>
          <t>Source Reference / Formula / Notes</t>
        </is>
      </c>
    </row>
    <row r="5">
      <c r="A5" s="13" t="inlineStr">
        <is>
          <t>Global Financials</t>
        </is>
      </c>
      <c r="B5" s="28" t="inlineStr">
        <is>
          <t>Exchange Rate (PHP/USD)</t>
        </is>
      </c>
      <c r="C5" s="68" t="n">
        <v>55</v>
      </c>
      <c r="D5" s="30" t="inlineStr">
        <is>
          <t>PHP/USD</t>
        </is>
      </c>
      <c r="E5" s="31" t="inlineStr">
        <is>
          <t>B5: Baseline FX in Price Book / Regulatory (test 55 to 65)</t>
        </is>
      </c>
    </row>
    <row r="6">
      <c r="A6" s="13" t="inlineStr">
        <is>
          <t>Global Financials</t>
        </is>
      </c>
      <c r="B6" s="28" t="inlineStr">
        <is>
          <t>Discount Rate / WACC</t>
        </is>
      </c>
      <c r="C6" s="32" t="n">
        <v>0.12</v>
      </c>
      <c r="D6" s="30" t="inlineStr">
        <is>
          <t>%</t>
        </is>
      </c>
      <c r="E6" s="31" t="inlineStr">
        <is>
          <t>B6: Nominal Weighted Average Cost of Capital</t>
        </is>
      </c>
    </row>
    <row r="7">
      <c r="A7" s="13" t="inlineStr">
        <is>
          <t>Global Financials</t>
        </is>
      </c>
      <c r="B7" s="28" t="inlineStr">
        <is>
          <t>Corporate Income Tax Rate</t>
        </is>
      </c>
      <c r="C7" s="32" t="n">
        <v>0.25</v>
      </c>
      <c r="D7" s="30" t="inlineStr">
        <is>
          <t>%</t>
        </is>
      </c>
      <c r="E7" s="31" t="inlineStr">
        <is>
          <t>B7: Philippine CREATE Act corporate tax rate</t>
        </is>
      </c>
    </row>
    <row r="8">
      <c r="A8" s="13" t="inlineStr">
        <is>
          <t>Global Financials</t>
        </is>
      </c>
      <c r="B8" s="28" t="inlineStr">
        <is>
          <t>Annual Cost Inflation / Escalation</t>
        </is>
      </c>
      <c r="C8" s="32" t="n">
        <v>0.05</v>
      </c>
      <c r="D8" s="30" t="inlineStr">
        <is>
          <t>% p.a.</t>
        </is>
      </c>
      <c r="E8" s="31" t="inlineStr">
        <is>
          <t>B8: Annual escalation for ongoing opex and future capex</t>
        </is>
      </c>
    </row>
    <row r="9">
      <c r="A9" s="13" t="inlineStr">
        <is>
          <t>Global Financials</t>
        </is>
      </c>
      <c r="B9" s="28" t="inlineStr">
        <is>
          <t>Project Modeling Horizon</t>
        </is>
      </c>
      <c r="C9" s="33" t="n">
        <v>10</v>
      </c>
      <c r="D9" s="30" t="inlineStr">
        <is>
          <t>years</t>
        </is>
      </c>
      <c r="E9" s="31" t="inlineStr">
        <is>
          <t>B9: 10-year full deployment lifecycle</t>
        </is>
      </c>
    </row>
    <row r="10">
      <c r="A10" s="13" t="inlineStr">
        <is>
          <t>Deployment &amp; Scale</t>
        </is>
      </c>
      <c r="B10" s="28" t="inlineStr">
        <is>
          <t>Total Planned Sites (Deployed Year 1)</t>
        </is>
      </c>
      <c r="C10" s="34" t="n">
        <v>1000</v>
      </c>
      <c r="D10" s="30" t="inlineStr">
        <is>
          <t>sites</t>
        </is>
      </c>
      <c r="E10" s="31" t="inlineStr">
        <is>
          <t>B10: 1,000 sites commissioned in Year 1 (Day-1 full footprint)</t>
        </is>
      </c>
    </row>
    <row r="11">
      <c r="A11" s="13" t="inlineStr">
        <is>
          <t>Deployment &amp; Scale</t>
        </is>
      </c>
      <c r="B11" s="28" t="inlineStr">
        <is>
          <t>Sites Added per Year (Y2-Y5)</t>
        </is>
      </c>
      <c r="C11" s="34" t="n">
        <v>1000</v>
      </c>
      <c r="D11" s="30" t="inlineStr">
        <is>
          <t>sites/yr</t>
        </is>
      </c>
      <c r="E11" s="31" t="inlineStr">
        <is>
          <t>B11: 1,000 additional sites deployed per year (scaling to 10,000 sites)</t>
        </is>
      </c>
    </row>
    <row r="12">
      <c r="A12" s="13" t="inlineStr">
        <is>
          <t>Deployment &amp; Scale</t>
        </is>
      </c>
      <c r="B12" s="28" t="inlineStr">
        <is>
          <t>Design Capacity per Site</t>
        </is>
      </c>
      <c r="C12" s="34" t="n">
        <v>1000</v>
      </c>
      <c r="D12" s="30" t="inlineStr">
        <is>
          <t>subs/site</t>
        </is>
      </c>
      <c r="E12" s="31" t="inlineStr">
        <is>
          <t>B12: 1,000 subscribers per 3-sector site (Band n50 3-Sector 8T8R MIMO)</t>
        </is>
      </c>
    </row>
    <row r="13">
      <c r="A13" s="13" t="inlineStr">
        <is>
          <t>Deployment &amp; Scale</t>
        </is>
      </c>
      <c r="B13" s="28" t="inlineStr">
        <is>
          <t>Total Network Subscriber Capacity</t>
        </is>
      </c>
      <c r="C13" s="34">
        <f>($C$10 + 4*$C$11)*$C$12</f>
        <v/>
      </c>
      <c r="D13" s="30" t="inlineStr">
        <is>
          <t>subs</t>
        </is>
      </c>
      <c r="E13" s="31" t="inlineStr">
        <is>
          <t>B13: Network capacity at maturity (Year 10)</t>
        </is>
      </c>
    </row>
    <row r="14">
      <c r="A14" s="13" t="inlineStr">
        <is>
          <t>Deployment &amp; Scale</t>
        </is>
      </c>
      <c r="B14" s="28" t="inlineStr">
        <is>
          <t>Monthly Gross Churn Rate</t>
        </is>
      </c>
      <c r="C14" s="32" t="n">
        <v>0.012</v>
      </c>
      <c r="D14" s="30" t="inlineStr">
        <is>
          <t>% / month</t>
        </is>
      </c>
      <c r="E14" s="31" t="inlineStr">
        <is>
          <t>B14: 1.2% monthly churn (14.4% p.a.)</t>
        </is>
      </c>
    </row>
    <row r="15">
      <c r="A15" s="13" t="inlineStr">
        <is>
          <t>Deployment &amp; Scale</t>
        </is>
      </c>
      <c r="B15" s="28" t="inlineStr">
        <is>
          <t>CPE Reclamation Success Rate</t>
        </is>
      </c>
      <c r="C15" s="32" t="n">
        <v>0.5</v>
      </c>
      <c r="D15" s="30" t="inlineStr">
        <is>
          <t>% of churn</t>
        </is>
      </c>
      <c r="E15" s="31" t="inlineStr">
        <is>
          <t>B15: 50% of churned CPEs recovered from households</t>
        </is>
      </c>
    </row>
    <row r="16">
      <c r="A16" s="13" t="inlineStr">
        <is>
          <t>Deployment &amp; Scale</t>
        </is>
      </c>
      <c r="B16" s="28" t="inlineStr">
        <is>
          <t>CPE Refurbishment Cost</t>
        </is>
      </c>
      <c r="C16" s="32" t="n">
        <v>0.2</v>
      </c>
      <c r="D16" s="30" t="inlineStr">
        <is>
          <t>% of new</t>
        </is>
      </c>
      <c r="E16" s="31" t="inlineStr">
        <is>
          <t>B16: Refurbishing recovered CPE costs 20% of new unit</t>
        </is>
      </c>
    </row>
    <row r="17">
      <c r="A17" s="13" t="inlineStr">
        <is>
          <t>Commercial &amp; ARPU</t>
        </is>
      </c>
      <c r="B17" s="28" t="inlineStr">
        <is>
          <t>Base Single Subscriber Retail Rate</t>
        </is>
      </c>
      <c r="C17" s="34" t="n">
        <v>599</v>
      </c>
      <c r="D17" s="30" t="inlineStr">
        <is>
          <t>PHP / month</t>
        </is>
      </c>
      <c r="E17" s="31" t="inlineStr">
        <is>
          <t>B17: Mass-market fixed wireless monthly subscription</t>
        </is>
      </c>
    </row>
    <row r="18">
      <c r="A18" s="13" t="inlineStr">
        <is>
          <t>Commercial &amp; ARPU</t>
        </is>
      </c>
      <c r="B18" s="28" t="inlineStr">
        <is>
          <t>Blended ARPU Uplift Multiplier</t>
        </is>
      </c>
      <c r="C18" s="69" t="n">
        <v>1.166945</v>
      </c>
      <c r="D18" s="30" t="inlineStr">
        <is>
          <t>x</t>
        </is>
      </c>
      <c r="E18" s="31" t="inlineStr">
        <is>
          <t>B18: 1.167x = blended ₱699/mo (50% @ ₱599, 40% @ ₱799, 10% @ ₱1,299 per Table 4)</t>
        </is>
      </c>
    </row>
    <row r="19">
      <c r="A19" s="13" t="inlineStr">
        <is>
          <t>Commercial &amp; ARPU</t>
        </is>
      </c>
      <c r="B19" s="28" t="inlineStr">
        <is>
          <t>Effective Blended ARPU</t>
        </is>
      </c>
      <c r="C19" s="36">
        <f>$C$17*$C$18</f>
        <v/>
      </c>
      <c r="D19" s="30" t="inlineStr">
        <is>
          <t>PHP / month</t>
        </is>
      </c>
      <c r="E19" s="31" t="inlineStr">
        <is>
          <t>B19: Resulting monthly revenue per active subscriber (₱699.00/mo)</t>
        </is>
      </c>
    </row>
    <row r="20">
      <c r="A20" s="13" t="inlineStr">
        <is>
          <t>Commercial &amp; ARPU</t>
        </is>
      </c>
      <c r="B20" s="28" t="inlineStr">
        <is>
          <t>Monthly Device Fee Recovery</t>
        </is>
      </c>
      <c r="C20" s="34" t="n">
        <v>0</v>
      </c>
      <c r="D20" s="30" t="inlineStr">
        <is>
          <t>PHP / month</t>
        </is>
      </c>
      <c r="E20" s="31" t="inlineStr">
        <is>
          <t>B20: Device installment fee if customer co-pays CPE</t>
        </is>
      </c>
    </row>
    <row r="21">
      <c r="A21" s="13" t="inlineStr">
        <is>
          <t>Commercial &amp; ARPU</t>
        </is>
      </c>
      <c r="B21" s="28" t="inlineStr">
        <is>
          <t>Device Fee Duration</t>
        </is>
      </c>
      <c r="C21" s="33" t="n">
        <v>24</v>
      </c>
      <c r="D21" s="30" t="inlineStr">
        <is>
          <t>months</t>
        </is>
      </c>
      <c r="E21" s="31" t="inlineStr">
        <is>
          <t>B21: Duration of device recovery fee</t>
        </is>
      </c>
    </row>
    <row r="22">
      <c r="A22" s="13" t="inlineStr">
        <is>
          <t>CAPEX Unit Costs</t>
        </is>
      </c>
      <c r="B22" s="28" t="inlineStr">
        <is>
          <t>BTS (BBU x1, 8T8R RRU x3, 8T8R Antenna x3)</t>
        </is>
      </c>
      <c r="C22" s="70" t="n">
        <v>26000</v>
      </c>
      <c r="D22" s="30" t="inlineStr">
        <is>
          <t>USD / site</t>
        </is>
      </c>
      <c r="E22" s="31" t="inlineStr">
        <is>
          <t>B22: Price Book F3: 80 MHz n50 3-Sector 8T8R MIMO macro BTS</t>
        </is>
      </c>
    </row>
    <row r="23">
      <c r="A23" s="13" t="inlineStr">
        <is>
          <t>CAPEX Unit Costs</t>
        </is>
      </c>
      <c r="B23" s="28" t="inlineStr">
        <is>
          <t>RAN Services (Survey, PM, I&amp;C, Optim)</t>
        </is>
      </c>
      <c r="C23" s="70" t="n">
        <v>15900</v>
      </c>
      <c r="D23" s="30" t="inlineStr">
        <is>
          <t>USD / site</t>
        </is>
      </c>
      <c r="E23" s="31" t="inlineStr">
        <is>
          <t>B23: Price Book F19:F25: Complete turnkey rollout services</t>
        </is>
      </c>
    </row>
    <row r="24">
      <c r="A24" s="13" t="inlineStr">
        <is>
          <t>CAPEX Unit Costs</t>
        </is>
      </c>
      <c r="B24" s="28" t="inlineStr">
        <is>
          <t>5G Core HW &amp; Integration</t>
        </is>
      </c>
      <c r="C24" s="70" t="n">
        <v>4480000</v>
      </c>
      <c r="D24" s="30" t="inlineStr">
        <is>
          <t>USD</t>
        </is>
      </c>
      <c r="E24" s="31" t="inlineStr">
        <is>
          <t>FWA_5GC_OSSBSS_Dimensioning_1M.xlsx: Core HW, DC fabric &amp; integration (Chinese Tier-1)</t>
        </is>
      </c>
    </row>
    <row r="25">
      <c r="A25" s="13" t="inlineStr">
        <is>
          <t>CAPEX Unit Costs</t>
        </is>
      </c>
      <c r="B25" s="28" t="inlineStr">
        <is>
          <t>Core Software Licenses (1M subs)</t>
        </is>
      </c>
      <c r="C25" s="70" t="n">
        <v>5660000</v>
      </c>
      <c r="D25" s="30" t="inlineStr">
        <is>
          <t>USD</t>
        </is>
      </c>
      <c r="E25" s="31" t="inlineStr">
        <is>
          <t>FWA_5GC_OSSBSS_Dimensioning_1M.xlsx: 1M sub 5GC licenses + 277Gbps UPF (Chinese Tier-1)</t>
        </is>
      </c>
    </row>
    <row r="26">
      <c r="A26" s="13" t="inlineStr">
        <is>
          <t>CAPEX Unit Costs</t>
        </is>
      </c>
      <c r="B26" s="28" t="inlineStr">
        <is>
          <t>OSS / BSS Turnkey Platform</t>
        </is>
      </c>
      <c r="C26" s="70" t="n">
        <v>12830000</v>
      </c>
      <c r="D26" s="30" t="inlineStr">
        <is>
          <t>USD</t>
        </is>
      </c>
      <c r="E26" s="31" t="inlineStr">
        <is>
          <t>FWA_5GC_OSSBSS_Dimensioning_1M.xlsx: Turnkey BSS/OSS + SI + Cloud DR (Chinese Tier-1)</t>
        </is>
      </c>
    </row>
    <row r="27">
      <c r="A27" s="13" t="inlineStr">
        <is>
          <t>CAPEX Unit Costs</t>
        </is>
      </c>
      <c r="B27" s="28" t="inlineStr">
        <is>
          <t>CPE Unit Purchase Price</t>
        </is>
      </c>
      <c r="C27" s="71" t="n">
        <v>55</v>
      </c>
      <c r="D27" s="30" t="inlineStr">
        <is>
          <t>USD / unit</t>
        </is>
      </c>
      <c r="E27" s="31" t="inlineStr">
        <is>
          <t>B27: Price Book F15 / Cost Tables row 21 ($55/CPE for 1M subs)</t>
        </is>
      </c>
    </row>
    <row r="28">
      <c r="A28" s="13" t="inlineStr">
        <is>
          <t>Tower Infrastructure</t>
        </is>
      </c>
      <c r="B28" s="28" t="inlineStr">
        <is>
          <t>Monopole Build (30m + Compound + AC)</t>
        </is>
      </c>
      <c r="C28" s="34" t="n">
        <v>3500000</v>
      </c>
      <c r="D28" s="30" t="inlineStr">
        <is>
          <t>PHP / site</t>
        </is>
      </c>
      <c r="E28" s="31" t="inlineStr">
        <is>
          <t>B28: Price Book F6: Monopole, shelter, compound ($63,636 @ 55 FX)</t>
        </is>
      </c>
    </row>
    <row r="29">
      <c r="A29" s="13" t="inlineStr">
        <is>
          <t>Tower Infrastructure</t>
        </is>
      </c>
      <c r="B29" s="28" t="inlineStr">
        <is>
          <t>25kVA Diesel Generator &amp; Day Tank</t>
        </is>
      </c>
      <c r="C29" s="70" t="n">
        <v>4000</v>
      </c>
      <c r="D29" s="30" t="inlineStr">
        <is>
          <t>USD / site</t>
        </is>
      </c>
      <c r="E29" s="31" t="inlineStr">
        <is>
          <t>B29: Price Book F5 / Cost Table row 10: Standby backup power</t>
        </is>
      </c>
    </row>
    <row r="30">
      <c r="A30" s="13" t="inlineStr">
        <is>
          <t>Tower Infrastructure</t>
        </is>
      </c>
      <c r="B30" s="28" t="inlineStr">
        <is>
          <t>DC Power Plant (6kW Rectifier + LFP)</t>
        </is>
      </c>
      <c r="C30" s="70" t="n">
        <v>4500</v>
      </c>
      <c r="D30" s="30" t="inlineStr">
        <is>
          <t>USD / site</t>
        </is>
      </c>
      <c r="E30" s="31" t="inlineStr">
        <is>
          <t>B30: Price Book F4: 6kW rectifier + 150Ah LiFePO4 battery</t>
        </is>
      </c>
    </row>
    <row r="31">
      <c r="A31" s="13" t="inlineStr">
        <is>
          <t>Tower Infrastructure</t>
        </is>
      </c>
      <c r="B31" s="28" t="inlineStr">
        <is>
          <t>TowerCo Lease Rate (incl DC &amp; Passive O&amp;M)</t>
        </is>
      </c>
      <c r="C31" s="34" t="n">
        <v>120000</v>
      </c>
      <c r="D31" s="30" t="inlineStr">
        <is>
          <t>PHP/site/mo</t>
        </is>
      </c>
      <c r="E31" s="31" t="inlineStr">
        <is>
          <t>B31: Price Book F38: Full turnkey macro colocation lease</t>
        </is>
      </c>
    </row>
    <row r="32">
      <c r="A32" s="13" t="inlineStr">
        <is>
          <t>Tower Infrastructure</t>
        </is>
      </c>
      <c r="B32" s="28" t="inlineStr">
        <is>
          <t>Own-Site Passive Maintenance (O&amp;M)</t>
        </is>
      </c>
      <c r="C32" s="34" t="n">
        <v>60000</v>
      </c>
      <c r="D32" s="30" t="inlineStr">
        <is>
          <t>PHP/site/mo</t>
        </is>
      </c>
      <c r="E32" s="31" t="inlineStr">
        <is>
          <t>B32: Price Book F41: Compound, structural, AC routine O&amp;M</t>
        </is>
      </c>
    </row>
    <row r="33">
      <c r="A33" s="13" t="inlineStr">
        <is>
          <t>Tower Infrastructure</t>
        </is>
      </c>
      <c r="B33" s="28" t="inlineStr">
        <is>
          <t>Site Land Lease (Own Monopoles)</t>
        </is>
      </c>
      <c r="C33" s="34" t="n">
        <v>20000</v>
      </c>
      <c r="D33" s="30" t="inlineStr">
        <is>
          <t>PHP/site/mo</t>
        </is>
      </c>
      <c r="E33" s="31" t="inlineStr">
        <is>
          <t>B33: Price Book F45 / Cost Table row 32: Ground lease rent</t>
        </is>
      </c>
    </row>
    <row r="34">
      <c r="A34" s="13" t="inlineStr">
        <is>
          <t>Tower Infrastructure</t>
        </is>
      </c>
      <c r="B34" s="28" t="inlineStr">
        <is>
          <t>Site Security (Own Monopoles)</t>
        </is>
      </c>
      <c r="C34" s="34" t="n">
        <v>12000</v>
      </c>
      <c r="D34" s="30" t="inlineStr">
        <is>
          <t>PHP/site/mo</t>
        </is>
      </c>
      <c r="E34" s="31" t="inlineStr">
        <is>
          <t>B34: Price Book F46 / Cost Table row 33: Physical guarding</t>
        </is>
      </c>
    </row>
    <row r="35">
      <c r="A35" s="13" t="inlineStr">
        <is>
          <t>Tower Infrastructure</t>
        </is>
      </c>
      <c r="B35" s="28" t="inlineStr">
        <is>
          <t>Site Electricity Tariff</t>
        </is>
      </c>
      <c r="C35" s="34" t="n">
        <v>80000</v>
      </c>
      <c r="D35" s="30" t="inlineStr">
        <is>
          <t>PHP/site/mo</t>
        </is>
      </c>
      <c r="E35" s="31" t="inlineStr">
        <is>
          <t>B35: Price Book F39: Utility power consumption per site</t>
        </is>
      </c>
    </row>
    <row r="36">
      <c r="A36" s="13" t="inlineStr">
        <is>
          <t>Tower Infrastructure</t>
        </is>
      </c>
      <c r="B36" s="28" t="inlineStr">
        <is>
          <t>Active Telecom O&amp;M Services</t>
        </is>
      </c>
      <c r="C36" s="34" t="n">
        <v>120000</v>
      </c>
      <c r="D36" s="30" t="inlineStr">
        <is>
          <t>PHP/site/mo</t>
        </is>
      </c>
      <c r="E36" s="31" t="inlineStr">
        <is>
          <t>B36: Price Book F42: Active RAN, electronics &amp; field maintenance</t>
        </is>
      </c>
    </row>
    <row r="37">
      <c r="A37" s="13" t="inlineStr">
        <is>
          <t>Backhaul Infrastructure</t>
        </is>
      </c>
      <c r="B37" s="28" t="inlineStr">
        <is>
          <t>FOC Backhaul Lease Rate (3rd-Party Off-Net)</t>
        </is>
      </c>
      <c r="C37" s="34" t="n">
        <v>100000</v>
      </c>
      <c r="D37" s="30" t="inlineStr">
        <is>
          <t>PHP/site/mo</t>
        </is>
      </c>
      <c r="E37" s="31" t="inlineStr">
        <is>
          <t>B37: Dedicated dark/lit commercial fiber lease per site</t>
        </is>
      </c>
    </row>
    <row r="38">
      <c r="A38" s="13" t="inlineStr">
        <is>
          <t>Backhaul Infrastructure</t>
        </is>
      </c>
      <c r="B38" s="28" t="inlineStr">
        <is>
          <t>Starlink Kit (4x Terminals)</t>
        </is>
      </c>
      <c r="C38" s="70" t="n">
        <v>1920</v>
      </c>
      <c r="D38" s="30" t="inlineStr">
        <is>
          <t>USD / site</t>
        </is>
      </c>
      <c r="E38" s="31" t="inlineStr">
        <is>
          <t>B38: Price Book F10: 4x Starlink terminals ($480 each)</t>
        </is>
      </c>
    </row>
    <row r="39">
      <c r="A39" s="13" t="inlineStr">
        <is>
          <t>Backhaul Infrastructure</t>
        </is>
      </c>
      <c r="B39" s="28" t="inlineStr">
        <is>
          <t>Starlink Aggregator / SD-WAN Router</t>
        </is>
      </c>
      <c r="C39" s="70" t="n">
        <v>400</v>
      </c>
      <c r="D39" s="30" t="inlineStr">
        <is>
          <t>USD / site</t>
        </is>
      </c>
      <c r="E39" s="31" t="inlineStr">
        <is>
          <t>B39: Price Book F11: Multi-WAN bonding &amp; aggregation router</t>
        </is>
      </c>
    </row>
    <row r="40">
      <c r="A40" s="13" t="inlineStr">
        <is>
          <t>Backhaul Infrastructure</t>
        </is>
      </c>
      <c r="B40" s="28" t="inlineStr">
        <is>
          <t>Starlink I&amp;C Installation Services</t>
        </is>
      </c>
      <c r="C40" s="70" t="n">
        <v>800</v>
      </c>
      <c r="D40" s="30" t="inlineStr">
        <is>
          <t>USD / site</t>
        </is>
      </c>
      <c r="E40" s="31" t="inlineStr">
        <is>
          <t>B40: Price Book F12: Dish mounting, cabling, alignment</t>
        </is>
      </c>
    </row>
    <row r="41">
      <c r="A41" s="13" t="inlineStr">
        <is>
          <t>Backhaul Infrastructure</t>
        </is>
      </c>
      <c r="B41" s="28" t="inlineStr">
        <is>
          <t>Starlink Monthly Subscription (4 Terminals)</t>
        </is>
      </c>
      <c r="C41" s="34" t="n">
        <v>6800</v>
      </c>
      <c r="D41" s="30" t="inlineStr">
        <is>
          <t>PHP/site/mo</t>
        </is>
      </c>
      <c r="E41" s="31" t="inlineStr">
        <is>
          <t>B41: 4 terminals x PHP 1,700/mo (Cost Table Starlink row 19)</t>
        </is>
      </c>
    </row>
    <row r="42">
      <c r="A42" s="13" t="inlineStr">
        <is>
          <t>Backhaul Infrastructure</t>
        </is>
      </c>
      <c r="B42" s="28" t="inlineStr">
        <is>
          <t>Starlink Hardware O&amp;M (% of Capex)</t>
        </is>
      </c>
      <c r="C42" s="32" t="n">
        <v>0.05</v>
      </c>
      <c r="D42" s="30" t="inlineStr">
        <is>
          <t>% p.a.</t>
        </is>
      </c>
      <c r="E42" s="31" t="inlineStr">
        <is>
          <t>B42: Annual spares and dish replacement maintenance</t>
        </is>
      </c>
    </row>
    <row r="43">
      <c r="A43" s="13" t="inlineStr">
        <is>
          <t>Backhaul Infrastructure</t>
        </is>
      </c>
      <c r="B43" s="28" t="inlineStr">
        <is>
          <t>Core IP Transit Bandwidth</t>
        </is>
      </c>
      <c r="C43" s="70" t="n">
        <v>2000000</v>
      </c>
      <c r="D43" s="30" t="inlineStr">
        <is>
          <t>USD / year</t>
        </is>
      </c>
      <c r="E43" s="31" t="inlineStr">
        <is>
          <t>FWA_5GC_OSSBSS_Dimensioning_1M.xlsx: National upstream IP transit ($2.0M/yr)</t>
        </is>
      </c>
    </row>
    <row r="44">
      <c r="A44" s="13" t="inlineStr">
        <is>
          <t>Regulatory &amp; SUF</t>
        </is>
      </c>
      <c r="B44" s="28" t="inlineStr">
        <is>
          <t>Assigned Spectrum Bandwidth</t>
        </is>
      </c>
      <c r="C44" s="34" t="n">
        <v>80</v>
      </c>
      <c r="D44" s="30" t="inlineStr">
        <is>
          <t>MHz</t>
        </is>
      </c>
      <c r="E44" s="31" t="inlineStr">
        <is>
          <t>B44: 80 MHz channel in n50 band (80,000 kHz)</t>
        </is>
      </c>
    </row>
    <row r="45">
      <c r="A45" s="13" t="inlineStr">
        <is>
          <t>Regulatory &amp; SUF</t>
        </is>
      </c>
      <c r="B45" s="28" t="inlineStr">
        <is>
          <t>SUF Regulatory Rate per kHz</t>
        </is>
      </c>
      <c r="C45" s="39" t="n">
        <v>5</v>
      </c>
      <c r="D45" s="30" t="inlineStr">
        <is>
          <t>PHP / kHz</t>
        </is>
      </c>
      <c r="E45" s="31" t="inlineStr">
        <is>
          <t>B45: NTC mandated rate: ₱5.00 per kHz (no phasing)</t>
        </is>
      </c>
    </row>
    <row r="46">
      <c r="A46" s="13" t="inlineStr">
        <is>
          <t>Regulatory &amp; SUF</t>
        </is>
      </c>
      <c r="B46" s="28" t="inlineStr">
        <is>
          <t>Annual Spectrum User Fee (SUF)</t>
        </is>
      </c>
      <c r="C46" s="34">
        <f>$C$44*1000*$C$45*1000</f>
        <v/>
      </c>
      <c r="D46" s="30" t="inlineStr">
        <is>
          <t>PHP / year</t>
        </is>
      </c>
      <c r="E46" s="31" t="inlineStr">
        <is>
          <t>NTC Spectrum Users Fee (SUF): 80 MHz channel in n50 band (80,000 kHz) at NTC mandated rate of ₱5.00/kHz/station across 1,000 baseline stations = 80,000 kHz x ₱5.00 x 1,000 stations = ₱400,000,000 PHP/year ($7.2727M USD/year).</t>
        </is>
      </c>
    </row>
    <row r="47">
      <c r="A47" s="13" t="inlineStr">
        <is>
          <t>Regulatory &amp; SUF</t>
        </is>
      </c>
      <c r="B47" s="28" t="inlineStr">
        <is>
          <t>SUF Annual Outflow in USD</t>
        </is>
      </c>
      <c r="C47" s="70">
        <f>$C$46/$C$5</f>
        <v/>
      </c>
      <c r="D47" s="30" t="inlineStr">
        <is>
          <t>USD / year</t>
        </is>
      </c>
      <c r="E47" s="31" t="inlineStr">
        <is>
          <t>B47: $7,272,727 USD/year unphased across all 10 years</t>
        </is>
      </c>
    </row>
    <row r="48">
      <c r="A48" s="13" t="inlineStr">
        <is>
          <t>Regulatory &amp; SUF</t>
        </is>
      </c>
      <c r="B48" s="28" t="inlineStr">
        <is>
          <t>Administrative Station Fees (RSL + Insp + Filing)</t>
        </is>
      </c>
      <c r="C48" s="34" t="n">
        <v>2310</v>
      </c>
      <c r="D48" s="30" t="inlineStr">
        <is>
          <t>PHP/site/yr</t>
        </is>
      </c>
      <c r="E48" s="31" t="inlineStr">
        <is>
          <t>B48: Price Book F59-F68: ₱1,200 RSL + ₱480 AIF + upfront amortized</t>
        </is>
      </c>
    </row>
    <row r="49">
      <c r="A49" s="13" t="inlineStr">
        <is>
          <t>Financing &amp; Deferred Terms</t>
        </is>
      </c>
      <c r="B49" s="28" t="inlineStr">
        <is>
          <t>Equipment Vendor Financing Down Payment</t>
        </is>
      </c>
      <c r="C49" s="32" t="n">
        <v>0.2</v>
      </c>
      <c r="D49" s="30" t="inlineStr">
        <is>
          <t>% upfront</t>
        </is>
      </c>
      <c r="E49" s="31" t="inlineStr">
        <is>
          <t>B49: 20% down payment on equipment delivery in Year 1</t>
        </is>
      </c>
    </row>
    <row r="50">
      <c r="A50" s="13" t="inlineStr">
        <is>
          <t>Financing &amp; Deferred Terms</t>
        </is>
      </c>
      <c r="B50" s="28" t="inlineStr">
        <is>
          <t>Financed Equipment Portion</t>
        </is>
      </c>
      <c r="C50" s="32">
        <f>1-$C$49</f>
        <v/>
      </c>
      <c r="D50" s="30" t="inlineStr">
        <is>
          <t>% financed</t>
        </is>
      </c>
      <c r="E50" s="31" t="inlineStr">
        <is>
          <t>B50: 80% vendor financed</t>
        </is>
      </c>
    </row>
    <row r="51">
      <c r="A51" s="13" t="inlineStr">
        <is>
          <t>Financing &amp; Deferred Terms</t>
        </is>
      </c>
      <c r="B51" s="28" t="inlineStr">
        <is>
          <t>Vendor Financing Amortization Period</t>
        </is>
      </c>
      <c r="C51" s="33" t="n">
        <v>4</v>
      </c>
      <c r="D51" s="30" t="inlineStr">
        <is>
          <t>years</t>
        </is>
      </c>
      <c r="E51" s="31" t="inlineStr">
        <is>
          <t>B51: Equal annual principal repayments over 4 years</t>
        </is>
      </c>
    </row>
    <row r="52">
      <c r="A52" s="13" t="inlineStr">
        <is>
          <t>Financing &amp; Deferred Terms</t>
        </is>
      </c>
      <c r="B52" s="28" t="inlineStr">
        <is>
          <t>Vendor Financing Interest Rate</t>
        </is>
      </c>
      <c r="C52" s="32" t="n">
        <v>0.065</v>
      </c>
      <c r="D52" s="30" t="inlineStr">
        <is>
          <t>% p.a.</t>
        </is>
      </c>
      <c r="E52" s="31" t="inlineStr">
        <is>
          <t>B52: 6.5% annual vendor financing interest rate</t>
        </is>
      </c>
    </row>
    <row r="53">
      <c r="A53" s="13" t="inlineStr">
        <is>
          <t>Financing &amp; Deferred Terms</t>
        </is>
      </c>
      <c r="B53" s="28" t="inlineStr">
        <is>
          <t>SUF Payment Mechanism</t>
        </is>
      </c>
      <c r="C53" s="40" t="inlineStr">
        <is>
          <t>Full Flat Annual (Unphased)</t>
        </is>
      </c>
      <c r="D53" s="30" t="inlineStr">
        <is>
          <t>mode</t>
        </is>
      </c>
      <c r="E53" s="31" t="inlineStr">
        <is>
          <t>B53: Flat ₱400M/year paid across all years (no phasing)</t>
        </is>
      </c>
    </row>
    <row r="54">
      <c r="A54" s="13" t="inlineStr">
        <is>
          <t>Accounting Depreciation</t>
        </is>
      </c>
      <c r="B54" s="28" t="inlineStr">
        <is>
          <t>Depreciation Life — Telecom Network &amp; Core</t>
        </is>
      </c>
      <c r="C54" s="33" t="n">
        <v>7</v>
      </c>
      <c r="D54" s="30" t="inlineStr">
        <is>
          <t>years</t>
        </is>
      </c>
      <c r="E54" s="31" t="inlineStr">
        <is>
          <t>B54: Straight-line depreciation for RAN, Core, and backhaul hardware</t>
        </is>
      </c>
    </row>
    <row r="55">
      <c r="A55" s="13" t="inlineStr">
        <is>
          <t>Accounting Depreciation</t>
        </is>
      </c>
      <c r="B55" s="28" t="inlineStr">
        <is>
          <t>Depreciation Life — Civil Works &amp; Monopoles</t>
        </is>
      </c>
      <c r="C55" s="33" t="n">
        <v>15</v>
      </c>
      <c r="D55" s="30" t="inlineStr">
        <is>
          <t>years</t>
        </is>
      </c>
      <c r="E55" s="31" t="inlineStr">
        <is>
          <t>B55: Straight-line depreciation for 30m monopoles and shelters</t>
        </is>
      </c>
    </row>
    <row r="56">
      <c r="A56" s="13" t="inlineStr">
        <is>
          <t>Accounting Depreciation</t>
        </is>
      </c>
      <c r="B56" s="28" t="inlineStr">
        <is>
          <t>Depreciation Life — CPE Devices</t>
        </is>
      </c>
      <c r="C56" s="33" t="n">
        <v>4</v>
      </c>
      <c r="D56" s="30" t="inlineStr">
        <is>
          <t>years</t>
        </is>
      </c>
      <c r="E56" s="31" t="inlineStr">
        <is>
          <t>B56: Straight-line depreciation for customer premises equipment</t>
        </is>
      </c>
    </row>
    <row r="57">
      <c r="A57" s="13" t="inlineStr">
        <is>
          <t>Subscriber Ramp Toggles</t>
        </is>
      </c>
      <c r="B57" s="28" t="inlineStr">
        <is>
          <t>Ramp Selection Mode (1=S-Curve, 2=Aggressive, 3=Full Take)</t>
        </is>
      </c>
      <c r="C57" s="33" t="n">
        <v>1</v>
      </c>
      <c r="D57" s="30" t="inlineStr">
        <is>
          <t>code</t>
        </is>
      </c>
      <c r="E57" s="31" t="inlineStr">
        <is>
          <t>B57: 1=250k-1M S-Curve; 2=500k-1M Pre-sale; 3=1M Day-1</t>
        </is>
      </c>
    </row>
    <row r="58">
      <c r="A58" s="13" t="inlineStr">
        <is>
          <t>5G Core &amp; OSS/BSS Scaling</t>
        </is>
      </c>
      <c r="B58" s="28" t="inlineStr">
        <is>
          <t>Incremental 5G Core License &amp; HW CAPEX</t>
        </is>
      </c>
      <c r="C58" s="70" t="n">
        <v>8000</v>
      </c>
      <c r="D58" s="30" t="inlineStr">
        <is>
          <t>USD / site</t>
        </is>
      </c>
      <c r="E58" s="31" t="inlineStr">
        <is>
          <t>FWA_5GC_OSSBSS_Dimensioning_1M.xlsx scale: $4/sub license + UPF/CaaS HW</t>
        </is>
      </c>
    </row>
    <row r="59">
      <c r="A59" s="13" t="inlineStr">
        <is>
          <t>5G Core &amp; OSS/BSS Scaling</t>
        </is>
      </c>
      <c r="B59" s="28" t="inlineStr">
        <is>
          <t>Incremental OSS/BSS Expansion CAPEX</t>
        </is>
      </c>
      <c r="C59" s="70" t="n">
        <v>6000</v>
      </c>
      <c r="D59" s="30" t="inlineStr">
        <is>
          <t>USD / site</t>
        </is>
      </c>
      <c r="E59" s="31" t="inlineStr">
        <is>
          <t>FWA_5GC_OSSBSS_Dimensioning_1M.xlsx scale: CRM, billing, mediation, WMS</t>
        </is>
      </c>
    </row>
    <row r="60">
      <c r="A60" s="13" t="inlineStr">
        <is>
          <t>5G Core &amp; OSS/BSS Scaling</t>
        </is>
      </c>
      <c r="B60" s="28" t="inlineStr">
        <is>
          <t>Total Incremental IT Stack CAPEX</t>
        </is>
      </c>
      <c r="C60" s="70">
        <f>$C$58+$C$59</f>
        <v/>
      </c>
      <c r="D60" s="30" t="inlineStr">
        <is>
          <t>USD / site</t>
        </is>
      </c>
      <c r="E60" s="31" t="inlineStr">
        <is>
          <t>Combined incremental IT CAPEX per 1,000-sub site ($14/sub capacity)</t>
        </is>
      </c>
    </row>
    <row r="61">
      <c r="A61" s="13" t="inlineStr">
        <is>
          <t>5G Core &amp; OSS/BSS Scaling</t>
        </is>
      </c>
      <c r="B61" s="28" t="inlineStr">
        <is>
          <t>Base 5G Core &amp; OSS/BSS Annual Support OPEX (Y1)</t>
        </is>
      </c>
      <c r="C61" s="70" t="n">
        <v>6653900</v>
      </c>
      <c r="D61" s="30" t="inlineStr">
        <is>
          <t>USD / year</t>
        </is>
      </c>
      <c r="E61" s="31" t="inlineStr">
        <is>
          <t>FWA_5GC_OSSBSS_Dimensioning_1M.xlsx (Chinese Tier-1): $792.4k SW + $1.892M Core + $3.969M OSS</t>
        </is>
      </c>
    </row>
    <row r="62">
      <c r="A62" s="13" t="inlineStr">
        <is>
          <t>5G Core &amp; OSS/BSS Scaling</t>
        </is>
      </c>
      <c r="B62" s="28" t="inlineStr">
        <is>
          <t>IT Stack Annual Support &amp; Maintenance Rate</t>
        </is>
      </c>
      <c r="C62" s="32" t="n">
        <v>0.14</v>
      </c>
      <c r="D62" s="30" t="inlineStr">
        <is>
          <t>% p.a.</t>
        </is>
      </c>
      <c r="E62" s="31" t="inlineStr">
        <is>
          <t>14.0% annual AMC/support on cumulative added IT CAPEX (Chinese Tier-1)</t>
        </is>
      </c>
    </row>
    <row r="63">
      <c r="A63" s="13" t="inlineStr">
        <is>
          <t>Rev 2 Audited Economics</t>
        </is>
      </c>
      <c r="B63" s="28" t="inlineStr">
        <is>
          <t>Class A/B Direct Node Drop Lateral CAPEX</t>
        </is>
      </c>
      <c r="C63" s="41" t="n">
        <v>350000</v>
      </c>
      <c r="D63" s="30" t="inlineStr">
        <is>
          <t>PHP / site</t>
        </is>
      </c>
      <c r="E63" s="31" t="inlineStr">
        <is>
          <t>B63: Screened optical node lateral drop civil works &amp; fiber tail</t>
        </is>
      </c>
    </row>
    <row r="64">
      <c r="A64" s="13" t="inlineStr">
        <is>
          <t>Rev 2 Audited Economics</t>
        </is>
      </c>
      <c r="B64" s="28" t="inlineStr">
        <is>
          <t>Class C Mainline Splice Tap Lateral CAPEX</t>
        </is>
      </c>
      <c r="C64" s="41" t="n">
        <v>450000</v>
      </c>
      <c r="D64" s="30" t="inlineStr">
        <is>
          <t>PHP / site</t>
        </is>
      </c>
      <c r="E64" s="31" t="inlineStr">
        <is>
          <t>B64: Mainline splice enclosure tap + mid-span drop civil works</t>
        </is>
      </c>
    </row>
    <row r="65">
      <c r="A65" s="13" t="inlineStr">
        <is>
          <t>Rev 2 Audited Economics</t>
        </is>
      </c>
      <c r="B65" s="28" t="inlineStr">
        <is>
          <t>Converge On-Net Dark Fiber Monthly Lease</t>
        </is>
      </c>
      <c r="C65" s="41" t="n">
        <v>25000</v>
      </c>
      <c r="D65" s="30" t="inlineStr">
        <is>
          <t>PHP/site/mo</t>
        </is>
      </c>
      <c r="E65" s="31" t="inlineStr">
        <is>
          <t>B65: Preferential affiliate dark fiber lease on screened Converge lateral</t>
        </is>
      </c>
    </row>
    <row r="66">
      <c r="A66" s="13" t="inlineStr">
        <is>
          <t>Rev 2 Audited Economics</t>
        </is>
      </c>
      <c r="B66" s="28" t="inlineStr">
        <is>
          <t>Starlink Enterprise Kit CAPEX (Rev 2 Standard)</t>
        </is>
      </c>
      <c r="C66" s="41" t="n">
        <v>220000</v>
      </c>
      <c r="D66" s="30" t="inlineStr">
        <is>
          <t>PHP / site</t>
        </is>
      </c>
      <c r="E66" s="31" t="inlineStr">
        <is>
          <t>B66: Starlink high-performance dish + dual-WAN bonding gateway</t>
        </is>
      </c>
    </row>
    <row r="67">
      <c r="A67" s="13" t="inlineStr">
        <is>
          <t>Rev 2 Audited Economics</t>
        </is>
      </c>
      <c r="B67" s="28" t="inlineStr">
        <is>
          <t>Starlink Pooled Monthly Subscription (Rev 2)</t>
        </is>
      </c>
      <c r="C67" s="41" t="n">
        <v>65000</v>
      </c>
      <c r="D67" s="30" t="inlineStr">
        <is>
          <t>PHP/site/mo</t>
        </is>
      </c>
      <c r="E67" s="31" t="inlineStr">
        <is>
          <t>B67: Enterprise priority pooled satellite throughput per macro site</t>
        </is>
      </c>
    </row>
    <row r="68">
      <c r="A68" s="13" t="inlineStr">
        <is>
          <t>Rev 2 Siting Splits</t>
        </is>
      </c>
      <c r="B68" s="28" t="inlineStr">
        <is>
          <t>Model 1 (Commercial) Audited Fiber Share (&lt;3km)</t>
        </is>
      </c>
      <c r="C68" s="42" t="n">
        <v>0.983</v>
      </c>
      <c r="D68" s="30" t="inlineStr">
        <is>
          <t>%</t>
        </is>
      </c>
      <c r="E68" s="31" t="inlineStr">
        <is>
          <t>B68: 98.3% fiber connectivity in Model 1 (82.4% direct node drops)</t>
        </is>
      </c>
    </row>
    <row r="69">
      <c r="A69" s="13" t="inlineStr">
        <is>
          <t>Rev 2 Siting Splits</t>
        </is>
      </c>
      <c r="B69" s="28" t="inlineStr">
        <is>
          <t>Model 1 (Commercial) Audited Starlink Share (&gt;3km)</t>
        </is>
      </c>
      <c r="C69" s="42" t="n">
        <v>0.017</v>
      </c>
      <c r="D69" s="30" t="inlineStr">
        <is>
          <t>%</t>
        </is>
      </c>
      <c r="E69" s="31" t="inlineStr">
        <is>
          <t>B69: Only 1.7% Starlink LEO satellite backhaul in Model 1</t>
        </is>
      </c>
    </row>
    <row r="70">
      <c r="A70" s="13" t="inlineStr">
        <is>
          <t>Rev 2 Siting Splits</t>
        </is>
      </c>
      <c r="B70" s="28" t="inlineStr">
        <is>
          <t>Model 2 (GIDA) Audited Fiber Share (&lt;3km)</t>
        </is>
      </c>
      <c r="C70" s="42" t="n">
        <v>0.335</v>
      </c>
      <c r="D70" s="30" t="inlineStr">
        <is>
          <t>%</t>
        </is>
      </c>
      <c r="E70" s="31" t="inlineStr">
        <is>
          <t>B70: 33.5% fiber connectivity in Model 2</t>
        </is>
      </c>
    </row>
    <row r="71">
      <c r="A71" s="13" t="inlineStr">
        <is>
          <t>Rev 2 Siting Splits</t>
        </is>
      </c>
      <c r="B71" s="28" t="inlineStr">
        <is>
          <t>Model 2 (GIDA) Audited Starlink Share (&gt;3km)</t>
        </is>
      </c>
      <c r="C71" s="42" t="n">
        <v>0.665</v>
      </c>
      <c r="D71" s="30" t="inlineStr">
        <is>
          <t>%</t>
        </is>
      </c>
      <c r="E71" s="31" t="inlineStr">
        <is>
          <t>B71: 66.5% Starlink LEO satellite backhaul required across GIDA sites</t>
        </is>
      </c>
    </row>
    <row r="72">
      <c r="A72" s="13" t="inlineStr">
        <is>
          <t>Rev 2 Siting Splits</t>
        </is>
      </c>
      <c r="B72" s="28" t="inlineStr">
        <is>
          <t>Model 3 (Combined) Audited Fiber Share (&lt;3km)</t>
        </is>
      </c>
      <c r="C72" s="42" t="n">
        <v>0.599</v>
      </c>
      <c r="D72" s="30" t="inlineStr">
        <is>
          <t>%</t>
        </is>
      </c>
      <c r="E72" s="31" t="inlineStr">
        <is>
          <t>B72: 59.9% fiber connectivity in Combined Hybrid model</t>
        </is>
      </c>
    </row>
    <row r="73">
      <c r="A73" s="13" t="inlineStr">
        <is>
          <t>Rev 2 Siting Splits</t>
        </is>
      </c>
      <c r="B73" s="28" t="inlineStr">
        <is>
          <t>Model 3 (Combined) Audited Starlink Share (&gt;3km)</t>
        </is>
      </c>
      <c r="C73" s="42" t="n">
        <v>0.401</v>
      </c>
      <c r="D73" s="30" t="inlineStr">
        <is>
          <t>%</t>
        </is>
      </c>
      <c r="E73" s="31" t="inlineStr">
        <is>
          <t>B73: 40.1% Starlink LEO satellite backhaul in Combined Hybrid model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1: Leased Towers + FOC Backhaul + Non-Deferred Payment</t>
        </is>
      </c>
    </row>
    <row r="2">
      <c r="A2" s="2" t="inlineStr">
        <is>
          <t>Footprint: 1,000 Sites Y1 scaling to 10k | Tower: Leased (TowerCo) | Backhaul: FOC | Payment Terms: Non-Deferred (100% Upfront)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Tower Lease (incl DC &amp; Passive O&amp;M)</t>
        </is>
      </c>
      <c r="C19" s="46" t="inlineStr">
        <is>
          <t>USD</t>
        </is>
      </c>
      <c r="D19" s="73">
        <f>D5*'Assumptions &amp; Levers'!$C$31*12/'Assumptions &amp; Levers'!$C$5</f>
        <v/>
      </c>
      <c r="E19" s="73">
        <f>E5*'Assumptions &amp; Levers'!$C$31*12/'Assumptions &amp; Levers'!$C$5</f>
        <v/>
      </c>
      <c r="F19" s="73">
        <f>F5*'Assumptions &amp; Levers'!$C$31*12/'Assumptions &amp; Levers'!$C$5</f>
        <v/>
      </c>
      <c r="G19" s="73">
        <f>G5*'Assumptions &amp; Levers'!$C$31*12/'Assumptions &amp; Levers'!$C$5</f>
        <v/>
      </c>
      <c r="H19" s="73">
        <f>H5*'Assumptions &amp; Levers'!$C$31*12/'Assumptions &amp; Levers'!$C$5</f>
        <v/>
      </c>
      <c r="I19" s="73">
        <f>I5*'Assumptions &amp; Levers'!$C$31*12/'Assumptions &amp; Levers'!$C$5</f>
        <v/>
      </c>
      <c r="J19" s="73">
        <f>J5*'Assumptions &amp; Levers'!$C$31*12/'Assumptions &amp; Levers'!$C$5</f>
        <v/>
      </c>
      <c r="K19" s="73">
        <f>K5*'Assumptions &amp; Levers'!$C$31*12/'Assumptions &amp; Levers'!$C$5</f>
        <v/>
      </c>
      <c r="L19" s="73">
        <f>L5*'Assumptions &amp; Levers'!$C$31*12/'Assumptions &amp; Levers'!$C$5</f>
        <v/>
      </c>
      <c r="M19" s="73">
        <f>M5*'Assumptions &amp; Levers'!$C$31*12/'Assumptions &amp; Levers'!$C$5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 t="n">
        <v>0</v>
      </c>
      <c r="E20" s="73" t="n">
        <v>0</v>
      </c>
      <c r="F20" s="73" t="n">
        <v>0</v>
      </c>
      <c r="G20" s="73" t="n">
        <v>0</v>
      </c>
      <c r="H20" s="73" t="n">
        <v>0</v>
      </c>
      <c r="I20" s="73" t="n">
        <v>0</v>
      </c>
      <c r="J20" s="73" t="n">
        <v>0</v>
      </c>
      <c r="K20" s="73" t="n">
        <v>0</v>
      </c>
      <c r="L20" s="73" t="n">
        <v>0</v>
      </c>
      <c r="M20" s="73" t="n">
        <v>0</v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FOC Leased Fiber Transmission (100% 3rd-Party)</t>
        </is>
      </c>
      <c r="C23" s="46" t="inlineStr">
        <is>
          <t>USD</t>
        </is>
      </c>
      <c r="D23" s="73">
        <f>D5*'Assumptions &amp; Levers'!$C$37*12/'Assumptions &amp; Levers'!$C$5</f>
        <v/>
      </c>
      <c r="E23" s="73">
        <f>E5*'Assumptions &amp; Levers'!$C$37*12/'Assumptions &amp; Levers'!$C$5</f>
        <v/>
      </c>
      <c r="F23" s="73">
        <f>F5*'Assumptions &amp; Levers'!$C$37*12/'Assumptions &amp; Levers'!$C$5</f>
        <v/>
      </c>
      <c r="G23" s="73">
        <f>G5*'Assumptions &amp; Levers'!$C$37*12/'Assumptions &amp; Levers'!$C$5</f>
        <v/>
      </c>
      <c r="H23" s="73">
        <f>H5*'Assumptions &amp; Levers'!$C$37*12/'Assumptions &amp; Levers'!$C$5</f>
        <v/>
      </c>
      <c r="I23" s="73">
        <f>I5*'Assumptions &amp; Levers'!$C$37*12/'Assumptions &amp; Levers'!$C$5</f>
        <v/>
      </c>
      <c r="J23" s="73">
        <f>J5*'Assumptions &amp; Levers'!$C$37*12/'Assumptions &amp; Levers'!$C$5</f>
        <v/>
      </c>
      <c r="K23" s="73">
        <f>K5*'Assumptions &amp; Levers'!$C$37*12/'Assumptions &amp; Levers'!$C$5</f>
        <v/>
      </c>
      <c r="L23" s="73">
        <f>L5*'Assumptions &amp; Levers'!$C$37*12/'Assumptions &amp; Levers'!$C$5</f>
        <v/>
      </c>
      <c r="M23" s="73">
        <f>M5*'Assumptions &amp; Levers'!$C$37*12/'Assumptions &amp; Levers'!$C$5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 t="n">
        <v>0</v>
      </c>
      <c r="E35" s="73" t="n">
        <v>0</v>
      </c>
      <c r="F35" s="73" t="n">
        <v>0</v>
      </c>
      <c r="G35" s="73" t="n">
        <v>0</v>
      </c>
      <c r="H35" s="73" t="n">
        <v>0</v>
      </c>
      <c r="I35" s="73" t="n">
        <v>0</v>
      </c>
      <c r="J35" s="73" t="n">
        <v>0</v>
      </c>
      <c r="K35" s="73" t="n">
        <v>0</v>
      </c>
      <c r="L35" s="73" t="n">
        <v>0</v>
      </c>
      <c r="M35" s="73" t="n">
        <v>0</v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 t="n">
        <v>0</v>
      </c>
      <c r="E36" s="73" t="n">
        <v>0</v>
      </c>
      <c r="F36" s="73" t="n">
        <v>0</v>
      </c>
      <c r="G36" s="73" t="n">
        <v>0</v>
      </c>
      <c r="H36" s="73" t="n">
        <v>0</v>
      </c>
      <c r="I36" s="73" t="n">
        <v>0</v>
      </c>
      <c r="J36" s="73" t="n">
        <v>0</v>
      </c>
      <c r="K36" s="73" t="n">
        <v>0</v>
      </c>
      <c r="L36" s="73" t="n">
        <v>0</v>
      </c>
      <c r="M36" s="73" t="n">
        <v>0</v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 t="n">
        <v>0</v>
      </c>
      <c r="E41" s="73" t="n">
        <v>0</v>
      </c>
      <c r="F41" s="73" t="n">
        <v>0</v>
      </c>
      <c r="G41" s="73" t="n">
        <v>0</v>
      </c>
      <c r="H41" s="73" t="n">
        <v>0</v>
      </c>
      <c r="I41" s="73" t="n">
        <v>0</v>
      </c>
      <c r="J41" s="73" t="n">
        <v>0</v>
      </c>
      <c r="K41" s="73" t="n">
        <v>0</v>
      </c>
      <c r="L41" s="73" t="n">
        <v>0</v>
      </c>
      <c r="M41" s="73" t="n">
        <v>0</v>
      </c>
      <c r="N41" s="73" t="n">
        <v>0</v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D39</f>
        <v/>
      </c>
      <c r="E42" s="73">
        <f>E39</f>
        <v/>
      </c>
      <c r="F42" s="73">
        <f>F39</f>
        <v/>
      </c>
      <c r="G42" s="73">
        <f>G39</f>
        <v/>
      </c>
      <c r="H42" s="73">
        <f>H39</f>
        <v/>
      </c>
      <c r="I42" s="73">
        <f>I39</f>
        <v/>
      </c>
      <c r="J42" s="73">
        <f>J39</f>
        <v/>
      </c>
      <c r="K42" s="73">
        <f>K39</f>
        <v/>
      </c>
      <c r="L42" s="73">
        <f>L39</f>
        <v/>
      </c>
      <c r="M42" s="73">
        <f>M39</f>
        <v/>
      </c>
      <c r="N42" s="73">
        <f>N39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 t="n">
        <v>0</v>
      </c>
      <c r="F43" s="73" t="n">
        <v>0</v>
      </c>
      <c r="G43" s="73" t="n">
        <v>0</v>
      </c>
      <c r="H43" s="73" t="n">
        <v>0</v>
      </c>
      <c r="I43" s="73" t="n">
        <v>0</v>
      </c>
      <c r="J43" s="73" t="n">
        <v>0</v>
      </c>
      <c r="K43" s="73" t="n">
        <v>0</v>
      </c>
      <c r="L43" s="73" t="n">
        <v>0</v>
      </c>
      <c r="M43" s="73" t="n">
        <v>0</v>
      </c>
      <c r="N43" s="73" t="n">
        <v>0</v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 t="n">
        <v>0</v>
      </c>
      <c r="F44" s="73" t="n">
        <v>0</v>
      </c>
      <c r="G44" s="73" t="n">
        <v>0</v>
      </c>
      <c r="H44" s="73" t="n">
        <v>0</v>
      </c>
      <c r="I44" s="73" t="n">
        <v>0</v>
      </c>
      <c r="J44" s="73" t="n">
        <v>0</v>
      </c>
      <c r="K44" s="73" t="n">
        <v>0</v>
      </c>
      <c r="L44" s="73" t="n">
        <v>0</v>
      </c>
      <c r="M44" s="73" t="n">
        <v>0</v>
      </c>
      <c r="N44" s="73" t="n">
        <v>0</v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D42</f>
        <v/>
      </c>
      <c r="E45" s="74">
        <f>E42</f>
        <v/>
      </c>
      <c r="F45" s="74">
        <f>F42</f>
        <v/>
      </c>
      <c r="G45" s="74">
        <f>G42</f>
        <v/>
      </c>
      <c r="H45" s="74">
        <f>H42</f>
        <v/>
      </c>
      <c r="I45" s="74">
        <f>I42</f>
        <v/>
      </c>
      <c r="J45" s="74">
        <f>J42</f>
        <v/>
      </c>
      <c r="K45" s="74">
        <f>K42</f>
        <v/>
      </c>
      <c r="L45" s="74">
        <f>L42</f>
        <v/>
      </c>
      <c r="M45" s="74">
        <f>M42</f>
        <v/>
      </c>
      <c r="N45" s="74">
        <f>N42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IFERROR(MATCH(TRUE, INDEX(D57:M57&gt;0, 0), 0) - 1 + ABS(INDEX(D57:M57, MATCH(TRUE, INDEX(D57:M57&gt;0, 0), 0)-1)) / INDEX(D56:M56, MATCH(TRUE, INDEX(D57:M57&gt;0, 0), 0)), "Over 10 Years")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2: Leased Towers + FOC Backhaul + Deferred Payment</t>
        </is>
      </c>
    </row>
    <row r="2">
      <c r="A2" s="2" t="inlineStr">
        <is>
          <t>Footprint: 1,000 Sites Y1 scaling to 10k | Tower: Leased (TowerCo) | Backhaul: FOC | Payment Terms: Deferred (20/80 Vendor Credit)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Tower Lease (incl DC &amp; Passive O&amp;M)</t>
        </is>
      </c>
      <c r="C19" s="46" t="inlineStr">
        <is>
          <t>USD</t>
        </is>
      </c>
      <c r="D19" s="73">
        <f>D5*'Assumptions &amp; Levers'!$C$31*12/'Assumptions &amp; Levers'!$C$5</f>
        <v/>
      </c>
      <c r="E19" s="73">
        <f>E5*'Assumptions &amp; Levers'!$C$31*12/'Assumptions &amp; Levers'!$C$5</f>
        <v/>
      </c>
      <c r="F19" s="73">
        <f>F5*'Assumptions &amp; Levers'!$C$31*12/'Assumptions &amp; Levers'!$C$5</f>
        <v/>
      </c>
      <c r="G19" s="73">
        <f>G5*'Assumptions &amp; Levers'!$C$31*12/'Assumptions &amp; Levers'!$C$5</f>
        <v/>
      </c>
      <c r="H19" s="73">
        <f>H5*'Assumptions &amp; Levers'!$C$31*12/'Assumptions &amp; Levers'!$C$5</f>
        <v/>
      </c>
      <c r="I19" s="73">
        <f>I5*'Assumptions &amp; Levers'!$C$31*12/'Assumptions &amp; Levers'!$C$5</f>
        <v/>
      </c>
      <c r="J19" s="73">
        <f>J5*'Assumptions &amp; Levers'!$C$31*12/'Assumptions &amp; Levers'!$C$5</f>
        <v/>
      </c>
      <c r="K19" s="73">
        <f>K5*'Assumptions &amp; Levers'!$C$31*12/'Assumptions &amp; Levers'!$C$5</f>
        <v/>
      </c>
      <c r="L19" s="73">
        <f>L5*'Assumptions &amp; Levers'!$C$31*12/'Assumptions &amp; Levers'!$C$5</f>
        <v/>
      </c>
      <c r="M19" s="73">
        <f>M5*'Assumptions &amp; Levers'!$C$31*12/'Assumptions &amp; Levers'!$C$5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 t="n">
        <v>0</v>
      </c>
      <c r="E20" s="73" t="n">
        <v>0</v>
      </c>
      <c r="F20" s="73" t="n">
        <v>0</v>
      </c>
      <c r="G20" s="73" t="n">
        <v>0</v>
      </c>
      <c r="H20" s="73" t="n">
        <v>0</v>
      </c>
      <c r="I20" s="73" t="n">
        <v>0</v>
      </c>
      <c r="J20" s="73" t="n">
        <v>0</v>
      </c>
      <c r="K20" s="73" t="n">
        <v>0</v>
      </c>
      <c r="L20" s="73" t="n">
        <v>0</v>
      </c>
      <c r="M20" s="73" t="n">
        <v>0</v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FOC Leased Fiber Transmission (100% 3rd-Party)</t>
        </is>
      </c>
      <c r="C23" s="46" t="inlineStr">
        <is>
          <t>USD</t>
        </is>
      </c>
      <c r="D23" s="73">
        <f>D5*'Assumptions &amp; Levers'!$C$37*12/'Assumptions &amp; Levers'!$C$5</f>
        <v/>
      </c>
      <c r="E23" s="73">
        <f>E5*'Assumptions &amp; Levers'!$C$37*12/'Assumptions &amp; Levers'!$C$5</f>
        <v/>
      </c>
      <c r="F23" s="73">
        <f>F5*'Assumptions &amp; Levers'!$C$37*12/'Assumptions &amp; Levers'!$C$5</f>
        <v/>
      </c>
      <c r="G23" s="73">
        <f>G5*'Assumptions &amp; Levers'!$C$37*12/'Assumptions &amp; Levers'!$C$5</f>
        <v/>
      </c>
      <c r="H23" s="73">
        <f>H5*'Assumptions &amp; Levers'!$C$37*12/'Assumptions &amp; Levers'!$C$5</f>
        <v/>
      </c>
      <c r="I23" s="73">
        <f>I5*'Assumptions &amp; Levers'!$C$37*12/'Assumptions &amp; Levers'!$C$5</f>
        <v/>
      </c>
      <c r="J23" s="73">
        <f>J5*'Assumptions &amp; Levers'!$C$37*12/'Assumptions &amp; Levers'!$C$5</f>
        <v/>
      </c>
      <c r="K23" s="73">
        <f>K5*'Assumptions &amp; Levers'!$C$37*12/'Assumptions &amp; Levers'!$C$5</f>
        <v/>
      </c>
      <c r="L23" s="73">
        <f>L5*'Assumptions &amp; Levers'!$C$37*12/'Assumptions &amp; Levers'!$C$5</f>
        <v/>
      </c>
      <c r="M23" s="73">
        <f>M5*'Assumptions &amp; Levers'!$C$37*12/'Assumptions &amp; Levers'!$C$5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 t="n">
        <v>0</v>
      </c>
      <c r="E35" s="73" t="n">
        <v>0</v>
      </c>
      <c r="F35" s="73" t="n">
        <v>0</v>
      </c>
      <c r="G35" s="73" t="n">
        <v>0</v>
      </c>
      <c r="H35" s="73" t="n">
        <v>0</v>
      </c>
      <c r="I35" s="73" t="n">
        <v>0</v>
      </c>
      <c r="J35" s="73" t="n">
        <v>0</v>
      </c>
      <c r="K35" s="73" t="n">
        <v>0</v>
      </c>
      <c r="L35" s="73" t="n">
        <v>0</v>
      </c>
      <c r="M35" s="73" t="n">
        <v>0</v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 t="n">
        <v>0</v>
      </c>
      <c r="E36" s="73" t="n">
        <v>0</v>
      </c>
      <c r="F36" s="73" t="n">
        <v>0</v>
      </c>
      <c r="G36" s="73" t="n">
        <v>0</v>
      </c>
      <c r="H36" s="73" t="n">
        <v>0</v>
      </c>
      <c r="I36" s="73" t="n">
        <v>0</v>
      </c>
      <c r="J36" s="73" t="n">
        <v>0</v>
      </c>
      <c r="K36" s="73" t="n">
        <v>0</v>
      </c>
      <c r="L36" s="73" t="n">
        <v>0</v>
      </c>
      <c r="M36" s="73" t="n">
        <v>0</v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>
        <f>(D34+D36+D37)*'Assumptions &amp; Levers'!$C$49</f>
        <v/>
      </c>
      <c r="E41" s="73">
        <f>(E34+E36+E37)*'Assumptions &amp; Levers'!$C$49</f>
        <v/>
      </c>
      <c r="F41" s="73">
        <f>(F34+F36+F37)*'Assumptions &amp; Levers'!$C$49</f>
        <v/>
      </c>
      <c r="G41" s="73">
        <f>(G34+G36+G37)*'Assumptions &amp; Levers'!$C$49</f>
        <v/>
      </c>
      <c r="H41" s="73">
        <f>(H34+H36+H37)*'Assumptions &amp; Levers'!$C$49</f>
        <v/>
      </c>
      <c r="I41" s="73">
        <f>(I34+I36+I37)*'Assumptions &amp; Levers'!$C$49</f>
        <v/>
      </c>
      <c r="J41" s="73">
        <f>(J34+J36+J37)*'Assumptions &amp; Levers'!$C$49</f>
        <v/>
      </c>
      <c r="K41" s="73">
        <f>(K34+K36+K37)*'Assumptions &amp; Levers'!$C$49</f>
        <v/>
      </c>
      <c r="L41" s="73">
        <f>(L34+L36+L37)*'Assumptions &amp; Levers'!$C$49</f>
        <v/>
      </c>
      <c r="M41" s="73">
        <f>(M34+M36+M37)*'Assumptions &amp; Levers'!$C$49</f>
        <v/>
      </c>
      <c r="N41" s="73">
        <f>SUM(D41:M41)</f>
        <v/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D35+D38</f>
        <v/>
      </c>
      <c r="E42" s="73">
        <f>E35+E38</f>
        <v/>
      </c>
      <c r="F42" s="73">
        <f>F35+F38</f>
        <v/>
      </c>
      <c r="G42" s="73">
        <f>G35+G38</f>
        <v/>
      </c>
      <c r="H42" s="73">
        <f>H35+H38</f>
        <v/>
      </c>
      <c r="I42" s="73">
        <f>I35+I38</f>
        <v/>
      </c>
      <c r="J42" s="73">
        <f>J35+J38</f>
        <v/>
      </c>
      <c r="K42" s="73">
        <f>K35+K38</f>
        <v/>
      </c>
      <c r="L42" s="73">
        <f>L35+L38</f>
        <v/>
      </c>
      <c r="M42" s="73">
        <f>M35+M38</f>
        <v/>
      </c>
      <c r="N42" s="73">
        <f>SUM(D42:M42)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>
        <f>D41</f>
        <v/>
      </c>
      <c r="F43" s="73">
        <f>D41+E41</f>
        <v/>
      </c>
      <c r="G43" s="73">
        <f>D41+E41+F41</f>
        <v/>
      </c>
      <c r="H43" s="73">
        <f>D41+E41+F41+G41</f>
        <v/>
      </c>
      <c r="I43" s="73">
        <f>E41+F41+G41+H41</f>
        <v/>
      </c>
      <c r="J43" s="73">
        <f>F41+G41+H41+I41</f>
        <v/>
      </c>
      <c r="K43" s="73">
        <f>G41+H41+I41+J41</f>
        <v/>
      </c>
      <c r="L43" s="73">
        <f>H41+I41+J41+K41</f>
        <v/>
      </c>
      <c r="M43" s="73">
        <f>I41+J41+K41+L41</f>
        <v/>
      </c>
      <c r="N43" s="73">
        <f>SUM(D43:M43)</f>
        <v/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>
        <f>(D41 * 4) * 'Assumptions &amp; Levers'!$C$52</f>
        <v/>
      </c>
      <c r="F44" s="73">
        <f>((D41+E41)*4 - E43) * 'Assumptions &amp; Levers'!$C$52</f>
        <v/>
      </c>
      <c r="G44" s="73">
        <f>((D41+E41+F41)*4 - (E43+F43)) * 'Assumptions &amp; Levers'!$C$52</f>
        <v/>
      </c>
      <c r="H44" s="73">
        <f>((D41+E41+F41+G41)*4 - (E43+F43+G43)) * 'Assumptions &amp; Levers'!$C$52</f>
        <v/>
      </c>
      <c r="I44" s="73">
        <f>((E41+F41+G41+H41)*4 - (F43+G43+H43)) * 'Assumptions &amp; Levers'!$C$52</f>
        <v/>
      </c>
      <c r="J44" s="73">
        <f>((F41+G41+H41+I41)*4 - (G43+H43+I43)) * 'Assumptions &amp; Levers'!$C$52</f>
        <v/>
      </c>
      <c r="K44" s="73">
        <f>((G41+H41+I41+J41)*4 - (H43+I43+J43)) * 'Assumptions &amp; Levers'!$C$52</f>
        <v/>
      </c>
      <c r="L44" s="73">
        <f>((H41+I41+J41+K41)*4 - (I43+J43+K43)) * 'Assumptions &amp; Levers'!$C$52</f>
        <v/>
      </c>
      <c r="M44" s="73">
        <f>((I41+J41+K41+L41)*4 - (J43+K43+L43)) * 'Assumptions &amp; Levers'!$C$52</f>
        <v/>
      </c>
      <c r="N44" s="73">
        <f>SUM(D44:M44)</f>
        <v/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D41+D42+D43+D44</f>
        <v/>
      </c>
      <c r="E45" s="74">
        <f>E41+E42+E43+E44</f>
        <v/>
      </c>
      <c r="F45" s="74">
        <f>F41+F42+F43+F44</f>
        <v/>
      </c>
      <c r="G45" s="74">
        <f>G41+G42+G43+G44</f>
        <v/>
      </c>
      <c r="H45" s="74">
        <f>H41+H42+H43+H44</f>
        <v/>
      </c>
      <c r="I45" s="74">
        <f>I41+I42+I43+I44</f>
        <v/>
      </c>
      <c r="J45" s="74">
        <f>J41+J42+J43+J44</f>
        <v/>
      </c>
      <c r="K45" s="74">
        <f>K41+K42+K43+K44</f>
        <v/>
      </c>
      <c r="L45" s="74">
        <f>L41+L42+L43+L44</f>
        <v/>
      </c>
      <c r="M45" s="74">
        <f>M41+M42+M43+M44</f>
        <v/>
      </c>
      <c r="N45" s="74">
        <f>N41+N42+N43+N44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IFERROR(MATCH(TRUE, INDEX(D57:M57&gt;0, 0), 0) - 1 + ABS(INDEX(D57:M57, MATCH(TRUE, INDEX(D57:M57&gt;0, 0), 0)-1)) / INDEX(D56:M56, MATCH(TRUE, INDEX(D57:M57&gt;0, 0), 0)), "Over 10 Years")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3: Leased Towers + Starlink Backhaul + Non-Deferred Payment</t>
        </is>
      </c>
    </row>
    <row r="2">
      <c r="A2" s="2" t="inlineStr">
        <is>
          <t>Footprint: 1,000 Sites Y1 scaling to 10k | Tower: Leased (TowerCo) | Backhaul: Starlink | Payment Terms: Non-Deferred (100% Upfront)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Tower Lease (incl DC &amp; Passive O&amp;M)</t>
        </is>
      </c>
      <c r="C19" s="46" t="inlineStr">
        <is>
          <t>USD</t>
        </is>
      </c>
      <c r="D19" s="73">
        <f>D5*'Assumptions &amp; Levers'!$C$31*12/'Assumptions &amp; Levers'!$C$5</f>
        <v/>
      </c>
      <c r="E19" s="73">
        <f>E5*'Assumptions &amp; Levers'!$C$31*12/'Assumptions &amp; Levers'!$C$5</f>
        <v/>
      </c>
      <c r="F19" s="73">
        <f>F5*'Assumptions &amp; Levers'!$C$31*12/'Assumptions &amp; Levers'!$C$5</f>
        <v/>
      </c>
      <c r="G19" s="73">
        <f>G5*'Assumptions &amp; Levers'!$C$31*12/'Assumptions &amp; Levers'!$C$5</f>
        <v/>
      </c>
      <c r="H19" s="73">
        <f>H5*'Assumptions &amp; Levers'!$C$31*12/'Assumptions &amp; Levers'!$C$5</f>
        <v/>
      </c>
      <c r="I19" s="73">
        <f>I5*'Assumptions &amp; Levers'!$C$31*12/'Assumptions &amp; Levers'!$C$5</f>
        <v/>
      </c>
      <c r="J19" s="73">
        <f>J5*'Assumptions &amp; Levers'!$C$31*12/'Assumptions &amp; Levers'!$C$5</f>
        <v/>
      </c>
      <c r="K19" s="73">
        <f>K5*'Assumptions &amp; Levers'!$C$31*12/'Assumptions &amp; Levers'!$C$5</f>
        <v/>
      </c>
      <c r="L19" s="73">
        <f>L5*'Assumptions &amp; Levers'!$C$31*12/'Assumptions &amp; Levers'!$C$5</f>
        <v/>
      </c>
      <c r="M19" s="73">
        <f>M5*'Assumptions &amp; Levers'!$C$31*12/'Assumptions &amp; Levers'!$C$5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 t="n">
        <v>0</v>
      </c>
      <c r="E20" s="73" t="n">
        <v>0</v>
      </c>
      <c r="F20" s="73" t="n">
        <v>0</v>
      </c>
      <c r="G20" s="73" t="n">
        <v>0</v>
      </c>
      <c r="H20" s="73" t="n">
        <v>0</v>
      </c>
      <c r="I20" s="73" t="n">
        <v>0</v>
      </c>
      <c r="J20" s="73" t="n">
        <v>0</v>
      </c>
      <c r="K20" s="73" t="n">
        <v>0</v>
      </c>
      <c r="L20" s="73" t="n">
        <v>0</v>
      </c>
      <c r="M20" s="73" t="n">
        <v>0</v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Starlink Subscriptions &amp; HW Spares (100% LEO)</t>
        </is>
      </c>
      <c r="C23" s="46" t="inlineStr">
        <is>
          <t>USD</t>
        </is>
      </c>
      <c r="D23" s="73">
        <f>D5*('Assumptions &amp; Levers'!$C$41*12/'Assumptions &amp; Levers'!$C$5 + ('Assumptions &amp; Levers'!$C$38+'Assumptions &amp; Levers'!$C$39)*'Assumptions &amp; Levers'!$C$42)</f>
        <v/>
      </c>
      <c r="E23" s="73">
        <f>E5*('Assumptions &amp; Levers'!$C$41*12/'Assumptions &amp; Levers'!$C$5 + ('Assumptions &amp; Levers'!$C$38+'Assumptions &amp; Levers'!$C$39)*'Assumptions &amp; Levers'!$C$42)</f>
        <v/>
      </c>
      <c r="F23" s="73">
        <f>F5*('Assumptions &amp; Levers'!$C$41*12/'Assumptions &amp; Levers'!$C$5 + ('Assumptions &amp; Levers'!$C$38+'Assumptions &amp; Levers'!$C$39)*'Assumptions &amp; Levers'!$C$42)</f>
        <v/>
      </c>
      <c r="G23" s="73">
        <f>G5*('Assumptions &amp; Levers'!$C$41*12/'Assumptions &amp; Levers'!$C$5 + ('Assumptions &amp; Levers'!$C$38+'Assumptions &amp; Levers'!$C$39)*'Assumptions &amp; Levers'!$C$42)</f>
        <v/>
      </c>
      <c r="H23" s="73">
        <f>H5*('Assumptions &amp; Levers'!$C$41*12/'Assumptions &amp; Levers'!$C$5 + ('Assumptions &amp; Levers'!$C$38+'Assumptions &amp; Levers'!$C$39)*'Assumptions &amp; Levers'!$C$42)</f>
        <v/>
      </c>
      <c r="I23" s="73">
        <f>I5*('Assumptions &amp; Levers'!$C$41*12/'Assumptions &amp; Levers'!$C$5 + ('Assumptions &amp; Levers'!$C$38+'Assumptions &amp; Levers'!$C$39)*'Assumptions &amp; Levers'!$C$42)</f>
        <v/>
      </c>
      <c r="J23" s="73">
        <f>J5*('Assumptions &amp; Levers'!$C$41*12/'Assumptions &amp; Levers'!$C$5 + ('Assumptions &amp; Levers'!$C$38+'Assumptions &amp; Levers'!$C$39)*'Assumptions &amp; Levers'!$C$42)</f>
        <v/>
      </c>
      <c r="K23" s="73">
        <f>K5*('Assumptions &amp; Levers'!$C$41*12/'Assumptions &amp; Levers'!$C$5 + ('Assumptions &amp; Levers'!$C$38+'Assumptions &amp; Levers'!$C$39)*'Assumptions &amp; Levers'!$C$42)</f>
        <v/>
      </c>
      <c r="L23" s="73">
        <f>L5*('Assumptions &amp; Levers'!$C$41*12/'Assumptions &amp; Levers'!$C$5 + ('Assumptions &amp; Levers'!$C$38+'Assumptions &amp; Levers'!$C$39)*'Assumptions &amp; Levers'!$C$42)</f>
        <v/>
      </c>
      <c r="M23" s="73">
        <f>M5*('Assumptions &amp; Levers'!$C$41*12/'Assumptions &amp; Levers'!$C$5 + ('Assumptions &amp; Levers'!$C$38+'Assumptions &amp; Levers'!$C$39)*'Assumptions &amp; Levers'!$C$42)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 t="n">
        <v>0</v>
      </c>
      <c r="E35" s="73" t="n">
        <v>0</v>
      </c>
      <c r="F35" s="73" t="n">
        <v>0</v>
      </c>
      <c r="G35" s="73" t="n">
        <v>0</v>
      </c>
      <c r="H35" s="73" t="n">
        <v>0</v>
      </c>
      <c r="I35" s="73" t="n">
        <v>0</v>
      </c>
      <c r="J35" s="73" t="n">
        <v>0</v>
      </c>
      <c r="K35" s="73" t="n">
        <v>0</v>
      </c>
      <c r="L35" s="73" t="n">
        <v>0</v>
      </c>
      <c r="M35" s="73" t="n">
        <v>0</v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>
        <f>D6*('Assumptions &amp; Levers'!$C$38 + 'Assumptions &amp; Levers'!$C$39 + 'Assumptions &amp; Levers'!$C$40)</f>
        <v/>
      </c>
      <c r="E36" s="73">
        <f>E6*('Assumptions &amp; Levers'!$C$38 + 'Assumptions &amp; Levers'!$C$39 + 'Assumptions &amp; Levers'!$C$40)</f>
        <v/>
      </c>
      <c r="F36" s="73">
        <f>F6*('Assumptions &amp; Levers'!$C$38 + 'Assumptions &amp; Levers'!$C$39 + 'Assumptions &amp; Levers'!$C$40)</f>
        <v/>
      </c>
      <c r="G36" s="73">
        <f>G6*('Assumptions &amp; Levers'!$C$38 + 'Assumptions &amp; Levers'!$C$39 + 'Assumptions &amp; Levers'!$C$40)</f>
        <v/>
      </c>
      <c r="H36" s="73">
        <f>H6*('Assumptions &amp; Levers'!$C$38 + 'Assumptions &amp; Levers'!$C$39 + 'Assumptions &amp; Levers'!$C$40)</f>
        <v/>
      </c>
      <c r="I36" s="73">
        <f>I6*('Assumptions &amp; Levers'!$C$38 + 'Assumptions &amp; Levers'!$C$39 + 'Assumptions &amp; Levers'!$C$40)</f>
        <v/>
      </c>
      <c r="J36" s="73">
        <f>J6*('Assumptions &amp; Levers'!$C$38 + 'Assumptions &amp; Levers'!$C$39 + 'Assumptions &amp; Levers'!$C$40)</f>
        <v/>
      </c>
      <c r="K36" s="73">
        <f>K6*('Assumptions &amp; Levers'!$C$38 + 'Assumptions &amp; Levers'!$C$39 + 'Assumptions &amp; Levers'!$C$40)</f>
        <v/>
      </c>
      <c r="L36" s="73">
        <f>L6*('Assumptions &amp; Levers'!$C$38 + 'Assumptions &amp; Levers'!$C$39 + 'Assumptions &amp; Levers'!$C$40)</f>
        <v/>
      </c>
      <c r="M36" s="73">
        <f>M6*('Assumptions &amp; Levers'!$C$38 + 'Assumptions &amp; Levers'!$C$39 + 'Assumptions &amp; Levers'!$C$40)</f>
        <v/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 t="n">
        <v>0</v>
      </c>
      <c r="E41" s="73" t="n">
        <v>0</v>
      </c>
      <c r="F41" s="73" t="n">
        <v>0</v>
      </c>
      <c r="G41" s="73" t="n">
        <v>0</v>
      </c>
      <c r="H41" s="73" t="n">
        <v>0</v>
      </c>
      <c r="I41" s="73" t="n">
        <v>0</v>
      </c>
      <c r="J41" s="73" t="n">
        <v>0</v>
      </c>
      <c r="K41" s="73" t="n">
        <v>0</v>
      </c>
      <c r="L41" s="73" t="n">
        <v>0</v>
      </c>
      <c r="M41" s="73" t="n">
        <v>0</v>
      </c>
      <c r="N41" s="73" t="n">
        <v>0</v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D39</f>
        <v/>
      </c>
      <c r="E42" s="73">
        <f>E39</f>
        <v/>
      </c>
      <c r="F42" s="73">
        <f>F39</f>
        <v/>
      </c>
      <c r="G42" s="73">
        <f>G39</f>
        <v/>
      </c>
      <c r="H42" s="73">
        <f>H39</f>
        <v/>
      </c>
      <c r="I42" s="73">
        <f>I39</f>
        <v/>
      </c>
      <c r="J42" s="73">
        <f>J39</f>
        <v/>
      </c>
      <c r="K42" s="73">
        <f>K39</f>
        <v/>
      </c>
      <c r="L42" s="73">
        <f>L39</f>
        <v/>
      </c>
      <c r="M42" s="73">
        <f>M39</f>
        <v/>
      </c>
      <c r="N42" s="73">
        <f>N39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 t="n">
        <v>0</v>
      </c>
      <c r="F43" s="73" t="n">
        <v>0</v>
      </c>
      <c r="G43" s="73" t="n">
        <v>0</v>
      </c>
      <c r="H43" s="73" t="n">
        <v>0</v>
      </c>
      <c r="I43" s="73" t="n">
        <v>0</v>
      </c>
      <c r="J43" s="73" t="n">
        <v>0</v>
      </c>
      <c r="K43" s="73" t="n">
        <v>0</v>
      </c>
      <c r="L43" s="73" t="n">
        <v>0</v>
      </c>
      <c r="M43" s="73" t="n">
        <v>0</v>
      </c>
      <c r="N43" s="73" t="n">
        <v>0</v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 t="n">
        <v>0</v>
      </c>
      <c r="F44" s="73" t="n">
        <v>0</v>
      </c>
      <c r="G44" s="73" t="n">
        <v>0</v>
      </c>
      <c r="H44" s="73" t="n">
        <v>0</v>
      </c>
      <c r="I44" s="73" t="n">
        <v>0</v>
      </c>
      <c r="J44" s="73" t="n">
        <v>0</v>
      </c>
      <c r="K44" s="73" t="n">
        <v>0</v>
      </c>
      <c r="L44" s="73" t="n">
        <v>0</v>
      </c>
      <c r="M44" s="73" t="n">
        <v>0</v>
      </c>
      <c r="N44" s="73" t="n">
        <v>0</v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D42</f>
        <v/>
      </c>
      <c r="E45" s="74">
        <f>E42</f>
        <v/>
      </c>
      <c r="F45" s="74">
        <f>F42</f>
        <v/>
      </c>
      <c r="G45" s="74">
        <f>G42</f>
        <v/>
      </c>
      <c r="H45" s="74">
        <f>H42</f>
        <v/>
      </c>
      <c r="I45" s="74">
        <f>I42</f>
        <v/>
      </c>
      <c r="J45" s="74">
        <f>J42</f>
        <v/>
      </c>
      <c r="K45" s="74">
        <f>K42</f>
        <v/>
      </c>
      <c r="L45" s="74">
        <f>L42</f>
        <v/>
      </c>
      <c r="M45" s="74">
        <f>M42</f>
        <v/>
      </c>
      <c r="N45" s="74">
        <f>N42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IFERROR(MATCH(TRUE, INDEX(D57:M57&gt;0, 0), 0) - 1 + ABS(INDEX(D57:M57, MATCH(TRUE, INDEX(D57:M57&gt;0, 0), 0)-1)) / INDEX(D56:M56, MATCH(TRUE, INDEX(D57:M57&gt;0, 0), 0)), "Over 10 Years")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4: Leased Towers + Starlink Backhaul + Deferred Payment</t>
        </is>
      </c>
    </row>
    <row r="2">
      <c r="A2" s="2" t="inlineStr">
        <is>
          <t>Footprint: 1,000 Sites Y1 scaling to 10k | Tower: Leased (TowerCo) | Backhaul: Starlink | Payment Terms: Deferred (20/80 Vendor Credit)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Tower Lease (incl DC &amp; Passive O&amp;M)</t>
        </is>
      </c>
      <c r="C19" s="46" t="inlineStr">
        <is>
          <t>USD</t>
        </is>
      </c>
      <c r="D19" s="73">
        <f>D5*'Assumptions &amp; Levers'!$C$31*12/'Assumptions &amp; Levers'!$C$5</f>
        <v/>
      </c>
      <c r="E19" s="73">
        <f>E5*'Assumptions &amp; Levers'!$C$31*12/'Assumptions &amp; Levers'!$C$5</f>
        <v/>
      </c>
      <c r="F19" s="73">
        <f>F5*'Assumptions &amp; Levers'!$C$31*12/'Assumptions &amp; Levers'!$C$5</f>
        <v/>
      </c>
      <c r="G19" s="73">
        <f>G5*'Assumptions &amp; Levers'!$C$31*12/'Assumptions &amp; Levers'!$C$5</f>
        <v/>
      </c>
      <c r="H19" s="73">
        <f>H5*'Assumptions &amp; Levers'!$C$31*12/'Assumptions &amp; Levers'!$C$5</f>
        <v/>
      </c>
      <c r="I19" s="73">
        <f>I5*'Assumptions &amp; Levers'!$C$31*12/'Assumptions &amp; Levers'!$C$5</f>
        <v/>
      </c>
      <c r="J19" s="73">
        <f>J5*'Assumptions &amp; Levers'!$C$31*12/'Assumptions &amp; Levers'!$C$5</f>
        <v/>
      </c>
      <c r="K19" s="73">
        <f>K5*'Assumptions &amp; Levers'!$C$31*12/'Assumptions &amp; Levers'!$C$5</f>
        <v/>
      </c>
      <c r="L19" s="73">
        <f>L5*'Assumptions &amp; Levers'!$C$31*12/'Assumptions &amp; Levers'!$C$5</f>
        <v/>
      </c>
      <c r="M19" s="73">
        <f>M5*'Assumptions &amp; Levers'!$C$31*12/'Assumptions &amp; Levers'!$C$5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 t="n">
        <v>0</v>
      </c>
      <c r="E20" s="73" t="n">
        <v>0</v>
      </c>
      <c r="F20" s="73" t="n">
        <v>0</v>
      </c>
      <c r="G20" s="73" t="n">
        <v>0</v>
      </c>
      <c r="H20" s="73" t="n">
        <v>0</v>
      </c>
      <c r="I20" s="73" t="n">
        <v>0</v>
      </c>
      <c r="J20" s="73" t="n">
        <v>0</v>
      </c>
      <c r="K20" s="73" t="n">
        <v>0</v>
      </c>
      <c r="L20" s="73" t="n">
        <v>0</v>
      </c>
      <c r="M20" s="73" t="n">
        <v>0</v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Starlink Subscriptions &amp; HW Spares (100% LEO)</t>
        </is>
      </c>
      <c r="C23" s="46" t="inlineStr">
        <is>
          <t>USD</t>
        </is>
      </c>
      <c r="D23" s="73">
        <f>D5*('Assumptions &amp; Levers'!$C$41*12/'Assumptions &amp; Levers'!$C$5 + ('Assumptions &amp; Levers'!$C$38+'Assumptions &amp; Levers'!$C$39)*'Assumptions &amp; Levers'!$C$42)</f>
        <v/>
      </c>
      <c r="E23" s="73">
        <f>E5*('Assumptions &amp; Levers'!$C$41*12/'Assumptions &amp; Levers'!$C$5 + ('Assumptions &amp; Levers'!$C$38+'Assumptions &amp; Levers'!$C$39)*'Assumptions &amp; Levers'!$C$42)</f>
        <v/>
      </c>
      <c r="F23" s="73">
        <f>F5*('Assumptions &amp; Levers'!$C$41*12/'Assumptions &amp; Levers'!$C$5 + ('Assumptions &amp; Levers'!$C$38+'Assumptions &amp; Levers'!$C$39)*'Assumptions &amp; Levers'!$C$42)</f>
        <v/>
      </c>
      <c r="G23" s="73">
        <f>G5*('Assumptions &amp; Levers'!$C$41*12/'Assumptions &amp; Levers'!$C$5 + ('Assumptions &amp; Levers'!$C$38+'Assumptions &amp; Levers'!$C$39)*'Assumptions &amp; Levers'!$C$42)</f>
        <v/>
      </c>
      <c r="H23" s="73">
        <f>H5*('Assumptions &amp; Levers'!$C$41*12/'Assumptions &amp; Levers'!$C$5 + ('Assumptions &amp; Levers'!$C$38+'Assumptions &amp; Levers'!$C$39)*'Assumptions &amp; Levers'!$C$42)</f>
        <v/>
      </c>
      <c r="I23" s="73">
        <f>I5*('Assumptions &amp; Levers'!$C$41*12/'Assumptions &amp; Levers'!$C$5 + ('Assumptions &amp; Levers'!$C$38+'Assumptions &amp; Levers'!$C$39)*'Assumptions &amp; Levers'!$C$42)</f>
        <v/>
      </c>
      <c r="J23" s="73">
        <f>J5*('Assumptions &amp; Levers'!$C$41*12/'Assumptions &amp; Levers'!$C$5 + ('Assumptions &amp; Levers'!$C$38+'Assumptions &amp; Levers'!$C$39)*'Assumptions &amp; Levers'!$C$42)</f>
        <v/>
      </c>
      <c r="K23" s="73">
        <f>K5*('Assumptions &amp; Levers'!$C$41*12/'Assumptions &amp; Levers'!$C$5 + ('Assumptions &amp; Levers'!$C$38+'Assumptions &amp; Levers'!$C$39)*'Assumptions &amp; Levers'!$C$42)</f>
        <v/>
      </c>
      <c r="L23" s="73">
        <f>L5*('Assumptions &amp; Levers'!$C$41*12/'Assumptions &amp; Levers'!$C$5 + ('Assumptions &amp; Levers'!$C$38+'Assumptions &amp; Levers'!$C$39)*'Assumptions &amp; Levers'!$C$42)</f>
        <v/>
      </c>
      <c r="M23" s="73">
        <f>M5*('Assumptions &amp; Levers'!$C$41*12/'Assumptions &amp; Levers'!$C$5 + ('Assumptions &amp; Levers'!$C$38+'Assumptions &amp; Levers'!$C$39)*'Assumptions &amp; Levers'!$C$42)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 t="n">
        <v>0</v>
      </c>
      <c r="E35" s="73" t="n">
        <v>0</v>
      </c>
      <c r="F35" s="73" t="n">
        <v>0</v>
      </c>
      <c r="G35" s="73" t="n">
        <v>0</v>
      </c>
      <c r="H35" s="73" t="n">
        <v>0</v>
      </c>
      <c r="I35" s="73" t="n">
        <v>0</v>
      </c>
      <c r="J35" s="73" t="n">
        <v>0</v>
      </c>
      <c r="K35" s="73" t="n">
        <v>0</v>
      </c>
      <c r="L35" s="73" t="n">
        <v>0</v>
      </c>
      <c r="M35" s="73" t="n">
        <v>0</v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>
        <f>D6*('Assumptions &amp; Levers'!$C$38 + 'Assumptions &amp; Levers'!$C$39 + 'Assumptions &amp; Levers'!$C$40)</f>
        <v/>
      </c>
      <c r="E36" s="73">
        <f>E6*('Assumptions &amp; Levers'!$C$38 + 'Assumptions &amp; Levers'!$C$39 + 'Assumptions &amp; Levers'!$C$40)</f>
        <v/>
      </c>
      <c r="F36" s="73">
        <f>F6*('Assumptions &amp; Levers'!$C$38 + 'Assumptions &amp; Levers'!$C$39 + 'Assumptions &amp; Levers'!$C$40)</f>
        <v/>
      </c>
      <c r="G36" s="73">
        <f>G6*('Assumptions &amp; Levers'!$C$38 + 'Assumptions &amp; Levers'!$C$39 + 'Assumptions &amp; Levers'!$C$40)</f>
        <v/>
      </c>
      <c r="H36" s="73">
        <f>H6*('Assumptions &amp; Levers'!$C$38 + 'Assumptions &amp; Levers'!$C$39 + 'Assumptions &amp; Levers'!$C$40)</f>
        <v/>
      </c>
      <c r="I36" s="73">
        <f>I6*('Assumptions &amp; Levers'!$C$38 + 'Assumptions &amp; Levers'!$C$39 + 'Assumptions &amp; Levers'!$C$40)</f>
        <v/>
      </c>
      <c r="J36" s="73">
        <f>J6*('Assumptions &amp; Levers'!$C$38 + 'Assumptions &amp; Levers'!$C$39 + 'Assumptions &amp; Levers'!$C$40)</f>
        <v/>
      </c>
      <c r="K36" s="73">
        <f>K6*('Assumptions &amp; Levers'!$C$38 + 'Assumptions &amp; Levers'!$C$39 + 'Assumptions &amp; Levers'!$C$40)</f>
        <v/>
      </c>
      <c r="L36" s="73">
        <f>L6*('Assumptions &amp; Levers'!$C$38 + 'Assumptions &amp; Levers'!$C$39 + 'Assumptions &amp; Levers'!$C$40)</f>
        <v/>
      </c>
      <c r="M36" s="73">
        <f>M6*('Assumptions &amp; Levers'!$C$38 + 'Assumptions &amp; Levers'!$C$39 + 'Assumptions &amp; Levers'!$C$40)</f>
        <v/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>
        <f>(D34+D36+D37)*'Assumptions &amp; Levers'!$C$49</f>
        <v/>
      </c>
      <c r="E41" s="73">
        <f>(E34+E36+E37)*'Assumptions &amp; Levers'!$C$49</f>
        <v/>
      </c>
      <c r="F41" s="73">
        <f>(F34+F36+F37)*'Assumptions &amp; Levers'!$C$49</f>
        <v/>
      </c>
      <c r="G41" s="73">
        <f>(G34+G36+G37)*'Assumptions &amp; Levers'!$C$49</f>
        <v/>
      </c>
      <c r="H41" s="73">
        <f>(H34+H36+H37)*'Assumptions &amp; Levers'!$C$49</f>
        <v/>
      </c>
      <c r="I41" s="73">
        <f>(I34+I36+I37)*'Assumptions &amp; Levers'!$C$49</f>
        <v/>
      </c>
      <c r="J41" s="73">
        <f>(J34+J36+J37)*'Assumptions &amp; Levers'!$C$49</f>
        <v/>
      </c>
      <c r="K41" s="73">
        <f>(K34+K36+K37)*'Assumptions &amp; Levers'!$C$49</f>
        <v/>
      </c>
      <c r="L41" s="73">
        <f>(L34+L36+L37)*'Assumptions &amp; Levers'!$C$49</f>
        <v/>
      </c>
      <c r="M41" s="73">
        <f>(M34+M36+M37)*'Assumptions &amp; Levers'!$C$49</f>
        <v/>
      </c>
      <c r="N41" s="73">
        <f>SUM(D41:M41)</f>
        <v/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D35+D38</f>
        <v/>
      </c>
      <c r="E42" s="73">
        <f>E35+E38</f>
        <v/>
      </c>
      <c r="F42" s="73">
        <f>F35+F38</f>
        <v/>
      </c>
      <c r="G42" s="73">
        <f>G35+G38</f>
        <v/>
      </c>
      <c r="H42" s="73">
        <f>H35+H38</f>
        <v/>
      </c>
      <c r="I42" s="73">
        <f>I35+I38</f>
        <v/>
      </c>
      <c r="J42" s="73">
        <f>J35+J38</f>
        <v/>
      </c>
      <c r="K42" s="73">
        <f>K35+K38</f>
        <v/>
      </c>
      <c r="L42" s="73">
        <f>L35+L38</f>
        <v/>
      </c>
      <c r="M42" s="73">
        <f>M35+M38</f>
        <v/>
      </c>
      <c r="N42" s="73">
        <f>SUM(D42:M42)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>
        <f>D41</f>
        <v/>
      </c>
      <c r="F43" s="73">
        <f>D41+E41</f>
        <v/>
      </c>
      <c r="G43" s="73">
        <f>D41+E41+F41</f>
        <v/>
      </c>
      <c r="H43" s="73">
        <f>D41+E41+F41+G41</f>
        <v/>
      </c>
      <c r="I43" s="73">
        <f>E41+F41+G41+H41</f>
        <v/>
      </c>
      <c r="J43" s="73">
        <f>F41+G41+H41+I41</f>
        <v/>
      </c>
      <c r="K43" s="73">
        <f>G41+H41+I41+J41</f>
        <v/>
      </c>
      <c r="L43" s="73">
        <f>H41+I41+J41+K41</f>
        <v/>
      </c>
      <c r="M43" s="73">
        <f>I41+J41+K41+L41</f>
        <v/>
      </c>
      <c r="N43" s="73">
        <f>SUM(D43:M43)</f>
        <v/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>
        <f>(D41 * 4) * 'Assumptions &amp; Levers'!$C$52</f>
        <v/>
      </c>
      <c r="F44" s="73">
        <f>((D41+E41)*4 - E43) * 'Assumptions &amp; Levers'!$C$52</f>
        <v/>
      </c>
      <c r="G44" s="73">
        <f>((D41+E41+F41)*4 - (E43+F43)) * 'Assumptions &amp; Levers'!$C$52</f>
        <v/>
      </c>
      <c r="H44" s="73">
        <f>((D41+E41+F41+G41)*4 - (E43+F43+G43)) * 'Assumptions &amp; Levers'!$C$52</f>
        <v/>
      </c>
      <c r="I44" s="73">
        <f>((E41+F41+G41+H41)*4 - (F43+G43+H43)) * 'Assumptions &amp; Levers'!$C$52</f>
        <v/>
      </c>
      <c r="J44" s="73">
        <f>((F41+G41+H41+I41)*4 - (G43+H43+I43)) * 'Assumptions &amp; Levers'!$C$52</f>
        <v/>
      </c>
      <c r="K44" s="73">
        <f>((G41+H41+I41+J41)*4 - (H43+I43+J43)) * 'Assumptions &amp; Levers'!$C$52</f>
        <v/>
      </c>
      <c r="L44" s="73">
        <f>((H41+I41+J41+K41)*4 - (I43+J43+K43)) * 'Assumptions &amp; Levers'!$C$52</f>
        <v/>
      </c>
      <c r="M44" s="73">
        <f>((I41+J41+K41+L41)*4 - (J43+K43+L43)) * 'Assumptions &amp; Levers'!$C$52</f>
        <v/>
      </c>
      <c r="N44" s="73">
        <f>SUM(D44:M44)</f>
        <v/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D41+D42+D43+D44</f>
        <v/>
      </c>
      <c r="E45" s="74">
        <f>E41+E42+E43+E44</f>
        <v/>
      </c>
      <c r="F45" s="74">
        <f>F41+F42+F43+F44</f>
        <v/>
      </c>
      <c r="G45" s="74">
        <f>G41+G42+G43+G44</f>
        <v/>
      </c>
      <c r="H45" s="74">
        <f>H41+H42+H43+H44</f>
        <v/>
      </c>
      <c r="I45" s="74">
        <f>I41+I42+I43+I44</f>
        <v/>
      </c>
      <c r="J45" s="74">
        <f>J41+J42+J43+J44</f>
        <v/>
      </c>
      <c r="K45" s="74">
        <f>K41+K42+K43+K44</f>
        <v/>
      </c>
      <c r="L45" s="74">
        <f>L41+L42+L43+L44</f>
        <v/>
      </c>
      <c r="M45" s="74">
        <f>M41+M42+M43+M44</f>
        <v/>
      </c>
      <c r="N45" s="74">
        <f>N41+N42+N43+N44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IFERROR(MATCH(TRUE, INDEX(D57:M57&gt;0, 0), 0) - 1 + ABS(INDEX(D57:M57, MATCH(TRUE, INDEX(D57:M57&gt;0, 0), 0)-1)) / INDEX(D56:M56, MATCH(TRUE, INDEX(D57:M57&gt;0, 0), 0)), "Over 10 Years")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5: Own Build Towers + FOC Backhaul + Non-Deferred Payment</t>
        </is>
      </c>
    </row>
    <row r="2">
      <c r="A2" s="2" t="inlineStr">
        <is>
          <t>Footprint: 1,000 Sites Y1 scaling to 10k | Tower: Own Build (Monopoles) | Backhaul: FOC | Payment Terms: Non-Deferred (100% Upfront)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Own-Site Passive O&amp;M + DC/Genset Maintenance</t>
        </is>
      </c>
      <c r="C19" s="46" t="inlineStr">
        <is>
          <t>USD</t>
        </is>
      </c>
      <c r="D19" s="73">
        <f>D5*('Assumptions &amp; Levers'!$C$32*12/'Assumptions &amp; Levers'!$C$5 + 'Assumptions &amp; Levers'!$C$29*0.15 + 'Assumptions &amp; Levers'!$C$30*0.15)</f>
        <v/>
      </c>
      <c r="E19" s="73">
        <f>E5*('Assumptions &amp; Levers'!$C$32*12/'Assumptions &amp; Levers'!$C$5 + 'Assumptions &amp; Levers'!$C$29*0.15 + 'Assumptions &amp; Levers'!$C$30*0.15)</f>
        <v/>
      </c>
      <c r="F19" s="73">
        <f>F5*('Assumptions &amp; Levers'!$C$32*12/'Assumptions &amp; Levers'!$C$5 + 'Assumptions &amp; Levers'!$C$29*0.15 + 'Assumptions &amp; Levers'!$C$30*0.15)</f>
        <v/>
      </c>
      <c r="G19" s="73">
        <f>G5*('Assumptions &amp; Levers'!$C$32*12/'Assumptions &amp; Levers'!$C$5 + 'Assumptions &amp; Levers'!$C$29*0.15 + 'Assumptions &amp; Levers'!$C$30*0.15)</f>
        <v/>
      </c>
      <c r="H19" s="73">
        <f>H5*('Assumptions &amp; Levers'!$C$32*12/'Assumptions &amp; Levers'!$C$5 + 'Assumptions &amp; Levers'!$C$29*0.15 + 'Assumptions &amp; Levers'!$C$30*0.15)</f>
        <v/>
      </c>
      <c r="I19" s="73">
        <f>I5*('Assumptions &amp; Levers'!$C$32*12/'Assumptions &amp; Levers'!$C$5 + 'Assumptions &amp; Levers'!$C$29*0.15 + 'Assumptions &amp; Levers'!$C$30*0.15)</f>
        <v/>
      </c>
      <c r="J19" s="73">
        <f>J5*('Assumptions &amp; Levers'!$C$32*12/'Assumptions &amp; Levers'!$C$5 + 'Assumptions &amp; Levers'!$C$29*0.15 + 'Assumptions &amp; Levers'!$C$30*0.15)</f>
        <v/>
      </c>
      <c r="K19" s="73">
        <f>K5*('Assumptions &amp; Levers'!$C$32*12/'Assumptions &amp; Levers'!$C$5 + 'Assumptions &amp; Levers'!$C$29*0.15 + 'Assumptions &amp; Levers'!$C$30*0.15)</f>
        <v/>
      </c>
      <c r="L19" s="73">
        <f>L5*('Assumptions &amp; Levers'!$C$32*12/'Assumptions &amp; Levers'!$C$5 + 'Assumptions &amp; Levers'!$C$29*0.15 + 'Assumptions &amp; Levers'!$C$30*0.15)</f>
        <v/>
      </c>
      <c r="M19" s="73">
        <f>M5*('Assumptions &amp; Levers'!$C$32*12/'Assumptions &amp; Levers'!$C$5 + 'Assumptions &amp; Levers'!$C$29*0.15 + 'Assumptions &amp; Levers'!$C$30*0.15)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>
        <f>D5*('Assumptions &amp; Levers'!$C$33 + 'Assumptions &amp; Levers'!$C$34)*12/'Assumptions &amp; Levers'!$C$5</f>
        <v/>
      </c>
      <c r="E20" s="73">
        <f>E5*('Assumptions &amp; Levers'!$C$33 + 'Assumptions &amp; Levers'!$C$34)*12/'Assumptions &amp; Levers'!$C$5</f>
        <v/>
      </c>
      <c r="F20" s="73">
        <f>F5*('Assumptions &amp; Levers'!$C$33 + 'Assumptions &amp; Levers'!$C$34)*12/'Assumptions &amp; Levers'!$C$5</f>
        <v/>
      </c>
      <c r="G20" s="73">
        <f>G5*('Assumptions &amp; Levers'!$C$33 + 'Assumptions &amp; Levers'!$C$34)*12/'Assumptions &amp; Levers'!$C$5</f>
        <v/>
      </c>
      <c r="H20" s="73">
        <f>H5*('Assumptions &amp; Levers'!$C$33 + 'Assumptions &amp; Levers'!$C$34)*12/'Assumptions &amp; Levers'!$C$5</f>
        <v/>
      </c>
      <c r="I20" s="73">
        <f>I5*('Assumptions &amp; Levers'!$C$33 + 'Assumptions &amp; Levers'!$C$34)*12/'Assumptions &amp; Levers'!$C$5</f>
        <v/>
      </c>
      <c r="J20" s="73">
        <f>J5*('Assumptions &amp; Levers'!$C$33 + 'Assumptions &amp; Levers'!$C$34)*12/'Assumptions &amp; Levers'!$C$5</f>
        <v/>
      </c>
      <c r="K20" s="73">
        <f>K5*('Assumptions &amp; Levers'!$C$33 + 'Assumptions &amp; Levers'!$C$34)*12/'Assumptions &amp; Levers'!$C$5</f>
        <v/>
      </c>
      <c r="L20" s="73">
        <f>L5*('Assumptions &amp; Levers'!$C$33 + 'Assumptions &amp; Levers'!$C$34)*12/'Assumptions &amp; Levers'!$C$5</f>
        <v/>
      </c>
      <c r="M20" s="73">
        <f>M5*('Assumptions &amp; Levers'!$C$33 + 'Assumptions &amp; Levers'!$C$34)*12/'Assumptions &amp; Levers'!$C$5</f>
        <v/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FOC Leased Fiber Transmission (100% 3rd-Party)</t>
        </is>
      </c>
      <c r="C23" s="46" t="inlineStr">
        <is>
          <t>USD</t>
        </is>
      </c>
      <c r="D23" s="73">
        <f>D5*'Assumptions &amp; Levers'!$C$37*12/'Assumptions &amp; Levers'!$C$5</f>
        <v/>
      </c>
      <c r="E23" s="73">
        <f>E5*'Assumptions &amp; Levers'!$C$37*12/'Assumptions &amp; Levers'!$C$5</f>
        <v/>
      </c>
      <c r="F23" s="73">
        <f>F5*'Assumptions &amp; Levers'!$C$37*12/'Assumptions &amp; Levers'!$C$5</f>
        <v/>
      </c>
      <c r="G23" s="73">
        <f>G5*'Assumptions &amp; Levers'!$C$37*12/'Assumptions &amp; Levers'!$C$5</f>
        <v/>
      </c>
      <c r="H23" s="73">
        <f>H5*'Assumptions &amp; Levers'!$C$37*12/'Assumptions &amp; Levers'!$C$5</f>
        <v/>
      </c>
      <c r="I23" s="73">
        <f>I5*'Assumptions &amp; Levers'!$C$37*12/'Assumptions &amp; Levers'!$C$5</f>
        <v/>
      </c>
      <c r="J23" s="73">
        <f>J5*'Assumptions &amp; Levers'!$C$37*12/'Assumptions &amp; Levers'!$C$5</f>
        <v/>
      </c>
      <c r="K23" s="73">
        <f>K5*'Assumptions &amp; Levers'!$C$37*12/'Assumptions &amp; Levers'!$C$5</f>
        <v/>
      </c>
      <c r="L23" s="73">
        <f>L5*'Assumptions &amp; Levers'!$C$37*12/'Assumptions &amp; Levers'!$C$5</f>
        <v/>
      </c>
      <c r="M23" s="73">
        <f>M5*'Assumptions &amp; Levers'!$C$37*12/'Assumptions &amp; Levers'!$C$5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>
        <f>D6*('Assumptions &amp; Levers'!$C$28/'Assumptions &amp; Levers'!$C$5 + 'Assumptions &amp; Levers'!$C$29 + 'Assumptions &amp; Levers'!$C$30)</f>
        <v/>
      </c>
      <c r="E35" s="73">
        <f>E6*('Assumptions &amp; Levers'!$C$28/'Assumptions &amp; Levers'!$C$5 + 'Assumptions &amp; Levers'!$C$29 + 'Assumptions &amp; Levers'!$C$30)</f>
        <v/>
      </c>
      <c r="F35" s="73">
        <f>F6*('Assumptions &amp; Levers'!$C$28/'Assumptions &amp; Levers'!$C$5 + 'Assumptions &amp; Levers'!$C$29 + 'Assumptions &amp; Levers'!$C$30)</f>
        <v/>
      </c>
      <c r="G35" s="73">
        <f>G6*('Assumptions &amp; Levers'!$C$28/'Assumptions &amp; Levers'!$C$5 + 'Assumptions &amp; Levers'!$C$29 + 'Assumptions &amp; Levers'!$C$30)</f>
        <v/>
      </c>
      <c r="H35" s="73">
        <f>H6*('Assumptions &amp; Levers'!$C$28/'Assumptions &amp; Levers'!$C$5 + 'Assumptions &amp; Levers'!$C$29 + 'Assumptions &amp; Levers'!$C$30)</f>
        <v/>
      </c>
      <c r="I35" s="73">
        <f>I6*('Assumptions &amp; Levers'!$C$28/'Assumptions &amp; Levers'!$C$5 + 'Assumptions &amp; Levers'!$C$29 + 'Assumptions &amp; Levers'!$C$30)</f>
        <v/>
      </c>
      <c r="J35" s="73">
        <f>J6*('Assumptions &amp; Levers'!$C$28/'Assumptions &amp; Levers'!$C$5 + 'Assumptions &amp; Levers'!$C$29 + 'Assumptions &amp; Levers'!$C$30)</f>
        <v/>
      </c>
      <c r="K35" s="73">
        <f>K6*('Assumptions &amp; Levers'!$C$28/'Assumptions &amp; Levers'!$C$5 + 'Assumptions &amp; Levers'!$C$29 + 'Assumptions &amp; Levers'!$C$30)</f>
        <v/>
      </c>
      <c r="L35" s="73">
        <f>L6*('Assumptions &amp; Levers'!$C$28/'Assumptions &amp; Levers'!$C$5 + 'Assumptions &amp; Levers'!$C$29 + 'Assumptions &amp; Levers'!$C$30)</f>
        <v/>
      </c>
      <c r="M35" s="73">
        <f>M6*('Assumptions &amp; Levers'!$C$28/'Assumptions &amp; Levers'!$C$5 + 'Assumptions &amp; Levers'!$C$29 + 'Assumptions &amp; Levers'!$C$30)</f>
        <v/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 t="n">
        <v>0</v>
      </c>
      <c r="E36" s="73" t="n">
        <v>0</v>
      </c>
      <c r="F36" s="73" t="n">
        <v>0</v>
      </c>
      <c r="G36" s="73" t="n">
        <v>0</v>
      </c>
      <c r="H36" s="73" t="n">
        <v>0</v>
      </c>
      <c r="I36" s="73" t="n">
        <v>0</v>
      </c>
      <c r="J36" s="73" t="n">
        <v>0</v>
      </c>
      <c r="K36" s="73" t="n">
        <v>0</v>
      </c>
      <c r="L36" s="73" t="n">
        <v>0</v>
      </c>
      <c r="M36" s="73" t="n">
        <v>0</v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 t="n">
        <v>0</v>
      </c>
      <c r="E41" s="73" t="n">
        <v>0</v>
      </c>
      <c r="F41" s="73" t="n">
        <v>0</v>
      </c>
      <c r="G41" s="73" t="n">
        <v>0</v>
      </c>
      <c r="H41" s="73" t="n">
        <v>0</v>
      </c>
      <c r="I41" s="73" t="n">
        <v>0</v>
      </c>
      <c r="J41" s="73" t="n">
        <v>0</v>
      </c>
      <c r="K41" s="73" t="n">
        <v>0</v>
      </c>
      <c r="L41" s="73" t="n">
        <v>0</v>
      </c>
      <c r="M41" s="73" t="n">
        <v>0</v>
      </c>
      <c r="N41" s="73" t="n">
        <v>0</v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D39</f>
        <v/>
      </c>
      <c r="E42" s="73">
        <f>E39</f>
        <v/>
      </c>
      <c r="F42" s="73">
        <f>F39</f>
        <v/>
      </c>
      <c r="G42" s="73">
        <f>G39</f>
        <v/>
      </c>
      <c r="H42" s="73">
        <f>H39</f>
        <v/>
      </c>
      <c r="I42" s="73">
        <f>I39</f>
        <v/>
      </c>
      <c r="J42" s="73">
        <f>J39</f>
        <v/>
      </c>
      <c r="K42" s="73">
        <f>K39</f>
        <v/>
      </c>
      <c r="L42" s="73">
        <f>L39</f>
        <v/>
      </c>
      <c r="M42" s="73">
        <f>M39</f>
        <v/>
      </c>
      <c r="N42" s="73">
        <f>N39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 t="n">
        <v>0</v>
      </c>
      <c r="F43" s="73" t="n">
        <v>0</v>
      </c>
      <c r="G43" s="73" t="n">
        <v>0</v>
      </c>
      <c r="H43" s="73" t="n">
        <v>0</v>
      </c>
      <c r="I43" s="73" t="n">
        <v>0</v>
      </c>
      <c r="J43" s="73" t="n">
        <v>0</v>
      </c>
      <c r="K43" s="73" t="n">
        <v>0</v>
      </c>
      <c r="L43" s="73" t="n">
        <v>0</v>
      </c>
      <c r="M43" s="73" t="n">
        <v>0</v>
      </c>
      <c r="N43" s="73" t="n">
        <v>0</v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 t="n">
        <v>0</v>
      </c>
      <c r="F44" s="73" t="n">
        <v>0</v>
      </c>
      <c r="G44" s="73" t="n">
        <v>0</v>
      </c>
      <c r="H44" s="73" t="n">
        <v>0</v>
      </c>
      <c r="I44" s="73" t="n">
        <v>0</v>
      </c>
      <c r="J44" s="73" t="n">
        <v>0</v>
      </c>
      <c r="K44" s="73" t="n">
        <v>0</v>
      </c>
      <c r="L44" s="73" t="n">
        <v>0</v>
      </c>
      <c r="M44" s="73" t="n">
        <v>0</v>
      </c>
      <c r="N44" s="73" t="n">
        <v>0</v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D42</f>
        <v/>
      </c>
      <c r="E45" s="74">
        <f>E42</f>
        <v/>
      </c>
      <c r="F45" s="74">
        <f>F42</f>
        <v/>
      </c>
      <c r="G45" s="74">
        <f>G42</f>
        <v/>
      </c>
      <c r="H45" s="74">
        <f>H42</f>
        <v/>
      </c>
      <c r="I45" s="74">
        <f>I42</f>
        <v/>
      </c>
      <c r="J45" s="74">
        <f>J42</f>
        <v/>
      </c>
      <c r="K45" s="74">
        <f>K42</f>
        <v/>
      </c>
      <c r="L45" s="74">
        <f>L42</f>
        <v/>
      </c>
      <c r="M45" s="74">
        <f>M42</f>
        <v/>
      </c>
      <c r="N45" s="74">
        <f>N42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IFERROR(MATCH(TRUE, INDEX(D57:M57&gt;0, 0), 0) - 1 + ABS(INDEX(D57:M57, MATCH(TRUE, INDEX(D57:M57&gt;0, 0), 0)-1)) / INDEX(D56:M56, MATCH(TRUE, INDEX(D57:M57&gt;0, 0), 0)), "Over 10 Years")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6: Own Build Towers + FOC Backhaul + Deferred Payment</t>
        </is>
      </c>
    </row>
    <row r="2">
      <c r="A2" s="2" t="inlineStr">
        <is>
          <t>Footprint: 1,000 Sites Y1 scaling to 10k | Tower: Own Build (Monopoles) | Backhaul: FOC | Payment Terms: Deferred (20/80 Vendor Credit)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Own-Site Passive O&amp;M + DC/Genset Maintenance</t>
        </is>
      </c>
      <c r="C19" s="46" t="inlineStr">
        <is>
          <t>USD</t>
        </is>
      </c>
      <c r="D19" s="73">
        <f>D5*('Assumptions &amp; Levers'!$C$32*12/'Assumptions &amp; Levers'!$C$5 + 'Assumptions &amp; Levers'!$C$29*0.15 + 'Assumptions &amp; Levers'!$C$30*0.15)</f>
        <v/>
      </c>
      <c r="E19" s="73">
        <f>E5*('Assumptions &amp; Levers'!$C$32*12/'Assumptions &amp; Levers'!$C$5 + 'Assumptions &amp; Levers'!$C$29*0.15 + 'Assumptions &amp; Levers'!$C$30*0.15)</f>
        <v/>
      </c>
      <c r="F19" s="73">
        <f>F5*('Assumptions &amp; Levers'!$C$32*12/'Assumptions &amp; Levers'!$C$5 + 'Assumptions &amp; Levers'!$C$29*0.15 + 'Assumptions &amp; Levers'!$C$30*0.15)</f>
        <v/>
      </c>
      <c r="G19" s="73">
        <f>G5*('Assumptions &amp; Levers'!$C$32*12/'Assumptions &amp; Levers'!$C$5 + 'Assumptions &amp; Levers'!$C$29*0.15 + 'Assumptions &amp; Levers'!$C$30*0.15)</f>
        <v/>
      </c>
      <c r="H19" s="73">
        <f>H5*('Assumptions &amp; Levers'!$C$32*12/'Assumptions &amp; Levers'!$C$5 + 'Assumptions &amp; Levers'!$C$29*0.15 + 'Assumptions &amp; Levers'!$C$30*0.15)</f>
        <v/>
      </c>
      <c r="I19" s="73">
        <f>I5*('Assumptions &amp; Levers'!$C$32*12/'Assumptions &amp; Levers'!$C$5 + 'Assumptions &amp; Levers'!$C$29*0.15 + 'Assumptions &amp; Levers'!$C$30*0.15)</f>
        <v/>
      </c>
      <c r="J19" s="73">
        <f>J5*('Assumptions &amp; Levers'!$C$32*12/'Assumptions &amp; Levers'!$C$5 + 'Assumptions &amp; Levers'!$C$29*0.15 + 'Assumptions &amp; Levers'!$C$30*0.15)</f>
        <v/>
      </c>
      <c r="K19" s="73">
        <f>K5*('Assumptions &amp; Levers'!$C$32*12/'Assumptions &amp; Levers'!$C$5 + 'Assumptions &amp; Levers'!$C$29*0.15 + 'Assumptions &amp; Levers'!$C$30*0.15)</f>
        <v/>
      </c>
      <c r="L19" s="73">
        <f>L5*('Assumptions &amp; Levers'!$C$32*12/'Assumptions &amp; Levers'!$C$5 + 'Assumptions &amp; Levers'!$C$29*0.15 + 'Assumptions &amp; Levers'!$C$30*0.15)</f>
        <v/>
      </c>
      <c r="M19" s="73">
        <f>M5*('Assumptions &amp; Levers'!$C$32*12/'Assumptions &amp; Levers'!$C$5 + 'Assumptions &amp; Levers'!$C$29*0.15 + 'Assumptions &amp; Levers'!$C$30*0.15)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>
        <f>D5*('Assumptions &amp; Levers'!$C$33 + 'Assumptions &amp; Levers'!$C$34)*12/'Assumptions &amp; Levers'!$C$5</f>
        <v/>
      </c>
      <c r="E20" s="73">
        <f>E5*('Assumptions &amp; Levers'!$C$33 + 'Assumptions &amp; Levers'!$C$34)*12/'Assumptions &amp; Levers'!$C$5</f>
        <v/>
      </c>
      <c r="F20" s="73">
        <f>F5*('Assumptions &amp; Levers'!$C$33 + 'Assumptions &amp; Levers'!$C$34)*12/'Assumptions &amp; Levers'!$C$5</f>
        <v/>
      </c>
      <c r="G20" s="73">
        <f>G5*('Assumptions &amp; Levers'!$C$33 + 'Assumptions &amp; Levers'!$C$34)*12/'Assumptions &amp; Levers'!$C$5</f>
        <v/>
      </c>
      <c r="H20" s="73">
        <f>H5*('Assumptions &amp; Levers'!$C$33 + 'Assumptions &amp; Levers'!$C$34)*12/'Assumptions &amp; Levers'!$C$5</f>
        <v/>
      </c>
      <c r="I20" s="73">
        <f>I5*('Assumptions &amp; Levers'!$C$33 + 'Assumptions &amp; Levers'!$C$34)*12/'Assumptions &amp; Levers'!$C$5</f>
        <v/>
      </c>
      <c r="J20" s="73">
        <f>J5*('Assumptions &amp; Levers'!$C$33 + 'Assumptions &amp; Levers'!$C$34)*12/'Assumptions &amp; Levers'!$C$5</f>
        <v/>
      </c>
      <c r="K20" s="73">
        <f>K5*('Assumptions &amp; Levers'!$C$33 + 'Assumptions &amp; Levers'!$C$34)*12/'Assumptions &amp; Levers'!$C$5</f>
        <v/>
      </c>
      <c r="L20" s="73">
        <f>L5*('Assumptions &amp; Levers'!$C$33 + 'Assumptions &amp; Levers'!$C$34)*12/'Assumptions &amp; Levers'!$C$5</f>
        <v/>
      </c>
      <c r="M20" s="73">
        <f>M5*('Assumptions &amp; Levers'!$C$33 + 'Assumptions &amp; Levers'!$C$34)*12/'Assumptions &amp; Levers'!$C$5</f>
        <v/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FOC Leased Fiber Transmission (100% 3rd-Party)</t>
        </is>
      </c>
      <c r="C23" s="46" t="inlineStr">
        <is>
          <t>USD</t>
        </is>
      </c>
      <c r="D23" s="73">
        <f>D5*'Assumptions &amp; Levers'!$C$37*12/'Assumptions &amp; Levers'!$C$5</f>
        <v/>
      </c>
      <c r="E23" s="73">
        <f>E5*'Assumptions &amp; Levers'!$C$37*12/'Assumptions &amp; Levers'!$C$5</f>
        <v/>
      </c>
      <c r="F23" s="73">
        <f>F5*'Assumptions &amp; Levers'!$C$37*12/'Assumptions &amp; Levers'!$C$5</f>
        <v/>
      </c>
      <c r="G23" s="73">
        <f>G5*'Assumptions &amp; Levers'!$C$37*12/'Assumptions &amp; Levers'!$C$5</f>
        <v/>
      </c>
      <c r="H23" s="73">
        <f>H5*'Assumptions &amp; Levers'!$C$37*12/'Assumptions &amp; Levers'!$C$5</f>
        <v/>
      </c>
      <c r="I23" s="73">
        <f>I5*'Assumptions &amp; Levers'!$C$37*12/'Assumptions &amp; Levers'!$C$5</f>
        <v/>
      </c>
      <c r="J23" s="73">
        <f>J5*'Assumptions &amp; Levers'!$C$37*12/'Assumptions &amp; Levers'!$C$5</f>
        <v/>
      </c>
      <c r="K23" s="73">
        <f>K5*'Assumptions &amp; Levers'!$C$37*12/'Assumptions &amp; Levers'!$C$5</f>
        <v/>
      </c>
      <c r="L23" s="73">
        <f>L5*'Assumptions &amp; Levers'!$C$37*12/'Assumptions &amp; Levers'!$C$5</f>
        <v/>
      </c>
      <c r="M23" s="73">
        <f>M5*'Assumptions &amp; Levers'!$C$37*12/'Assumptions &amp; Levers'!$C$5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>
        <f>D6*('Assumptions &amp; Levers'!$C$28/'Assumptions &amp; Levers'!$C$5 + 'Assumptions &amp; Levers'!$C$29 + 'Assumptions &amp; Levers'!$C$30)</f>
        <v/>
      </c>
      <c r="E35" s="73">
        <f>E6*('Assumptions &amp; Levers'!$C$28/'Assumptions &amp; Levers'!$C$5 + 'Assumptions &amp; Levers'!$C$29 + 'Assumptions &amp; Levers'!$C$30)</f>
        <v/>
      </c>
      <c r="F35" s="73">
        <f>F6*('Assumptions &amp; Levers'!$C$28/'Assumptions &amp; Levers'!$C$5 + 'Assumptions &amp; Levers'!$C$29 + 'Assumptions &amp; Levers'!$C$30)</f>
        <v/>
      </c>
      <c r="G35" s="73">
        <f>G6*('Assumptions &amp; Levers'!$C$28/'Assumptions &amp; Levers'!$C$5 + 'Assumptions &amp; Levers'!$C$29 + 'Assumptions &amp; Levers'!$C$30)</f>
        <v/>
      </c>
      <c r="H35" s="73">
        <f>H6*('Assumptions &amp; Levers'!$C$28/'Assumptions &amp; Levers'!$C$5 + 'Assumptions &amp; Levers'!$C$29 + 'Assumptions &amp; Levers'!$C$30)</f>
        <v/>
      </c>
      <c r="I35" s="73">
        <f>I6*('Assumptions &amp; Levers'!$C$28/'Assumptions &amp; Levers'!$C$5 + 'Assumptions &amp; Levers'!$C$29 + 'Assumptions &amp; Levers'!$C$30)</f>
        <v/>
      </c>
      <c r="J35" s="73">
        <f>J6*('Assumptions &amp; Levers'!$C$28/'Assumptions &amp; Levers'!$C$5 + 'Assumptions &amp; Levers'!$C$29 + 'Assumptions &amp; Levers'!$C$30)</f>
        <v/>
      </c>
      <c r="K35" s="73">
        <f>K6*('Assumptions &amp; Levers'!$C$28/'Assumptions &amp; Levers'!$C$5 + 'Assumptions &amp; Levers'!$C$29 + 'Assumptions &amp; Levers'!$C$30)</f>
        <v/>
      </c>
      <c r="L35" s="73">
        <f>L6*('Assumptions &amp; Levers'!$C$28/'Assumptions &amp; Levers'!$C$5 + 'Assumptions &amp; Levers'!$C$29 + 'Assumptions &amp; Levers'!$C$30)</f>
        <v/>
      </c>
      <c r="M35" s="73">
        <f>M6*('Assumptions &amp; Levers'!$C$28/'Assumptions &amp; Levers'!$C$5 + 'Assumptions &amp; Levers'!$C$29 + 'Assumptions &amp; Levers'!$C$30)</f>
        <v/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 t="n">
        <v>0</v>
      </c>
      <c r="E36" s="73" t="n">
        <v>0</v>
      </c>
      <c r="F36" s="73" t="n">
        <v>0</v>
      </c>
      <c r="G36" s="73" t="n">
        <v>0</v>
      </c>
      <c r="H36" s="73" t="n">
        <v>0</v>
      </c>
      <c r="I36" s="73" t="n">
        <v>0</v>
      </c>
      <c r="J36" s="73" t="n">
        <v>0</v>
      </c>
      <c r="K36" s="73" t="n">
        <v>0</v>
      </c>
      <c r="L36" s="73" t="n">
        <v>0</v>
      </c>
      <c r="M36" s="73" t="n">
        <v>0</v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>
        <f>(D34+D36+D37)*'Assumptions &amp; Levers'!$C$49</f>
        <v/>
      </c>
      <c r="E41" s="73">
        <f>(E34+E36+E37)*'Assumptions &amp; Levers'!$C$49</f>
        <v/>
      </c>
      <c r="F41" s="73">
        <f>(F34+F36+F37)*'Assumptions &amp; Levers'!$C$49</f>
        <v/>
      </c>
      <c r="G41" s="73">
        <f>(G34+G36+G37)*'Assumptions &amp; Levers'!$C$49</f>
        <v/>
      </c>
      <c r="H41" s="73">
        <f>(H34+H36+H37)*'Assumptions &amp; Levers'!$C$49</f>
        <v/>
      </c>
      <c r="I41" s="73">
        <f>(I34+I36+I37)*'Assumptions &amp; Levers'!$C$49</f>
        <v/>
      </c>
      <c r="J41" s="73">
        <f>(J34+J36+J37)*'Assumptions &amp; Levers'!$C$49</f>
        <v/>
      </c>
      <c r="K41" s="73">
        <f>(K34+K36+K37)*'Assumptions &amp; Levers'!$C$49</f>
        <v/>
      </c>
      <c r="L41" s="73">
        <f>(L34+L36+L37)*'Assumptions &amp; Levers'!$C$49</f>
        <v/>
      </c>
      <c r="M41" s="73">
        <f>(M34+M36+M37)*'Assumptions &amp; Levers'!$C$49</f>
        <v/>
      </c>
      <c r="N41" s="73">
        <f>SUM(D41:M41)</f>
        <v/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D35+D38</f>
        <v/>
      </c>
      <c r="E42" s="73">
        <f>E35+E38</f>
        <v/>
      </c>
      <c r="F42" s="73">
        <f>F35+F38</f>
        <v/>
      </c>
      <c r="G42" s="73">
        <f>G35+G38</f>
        <v/>
      </c>
      <c r="H42" s="73">
        <f>H35+H38</f>
        <v/>
      </c>
      <c r="I42" s="73">
        <f>I35+I38</f>
        <v/>
      </c>
      <c r="J42" s="73">
        <f>J35+J38</f>
        <v/>
      </c>
      <c r="K42" s="73">
        <f>K35+K38</f>
        <v/>
      </c>
      <c r="L42" s="73">
        <f>L35+L38</f>
        <v/>
      </c>
      <c r="M42" s="73">
        <f>M35+M38</f>
        <v/>
      </c>
      <c r="N42" s="73">
        <f>SUM(D42:M42)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>
        <f>D41</f>
        <v/>
      </c>
      <c r="F43" s="73">
        <f>D41+E41</f>
        <v/>
      </c>
      <c r="G43" s="73">
        <f>D41+E41+F41</f>
        <v/>
      </c>
      <c r="H43" s="73">
        <f>D41+E41+F41+G41</f>
        <v/>
      </c>
      <c r="I43" s="73">
        <f>E41+F41+G41+H41</f>
        <v/>
      </c>
      <c r="J43" s="73">
        <f>F41+G41+H41+I41</f>
        <v/>
      </c>
      <c r="K43" s="73">
        <f>G41+H41+I41+J41</f>
        <v/>
      </c>
      <c r="L43" s="73">
        <f>H41+I41+J41+K41</f>
        <v/>
      </c>
      <c r="M43" s="73">
        <f>I41+J41+K41+L41</f>
        <v/>
      </c>
      <c r="N43" s="73">
        <f>SUM(D43:M43)</f>
        <v/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>
        <f>(D41 * 4) * 'Assumptions &amp; Levers'!$C$52</f>
        <v/>
      </c>
      <c r="F44" s="73">
        <f>((D41+E41)*4 - E43) * 'Assumptions &amp; Levers'!$C$52</f>
        <v/>
      </c>
      <c r="G44" s="73">
        <f>((D41+E41+F41)*4 - (E43+F43)) * 'Assumptions &amp; Levers'!$C$52</f>
        <v/>
      </c>
      <c r="H44" s="73">
        <f>((D41+E41+F41+G41)*4 - (E43+F43+G43)) * 'Assumptions &amp; Levers'!$C$52</f>
        <v/>
      </c>
      <c r="I44" s="73">
        <f>((E41+F41+G41+H41)*4 - (F43+G43+H43)) * 'Assumptions &amp; Levers'!$C$52</f>
        <v/>
      </c>
      <c r="J44" s="73">
        <f>((F41+G41+H41+I41)*4 - (G43+H43+I43)) * 'Assumptions &amp; Levers'!$C$52</f>
        <v/>
      </c>
      <c r="K44" s="73">
        <f>((G41+H41+I41+J41)*4 - (H43+I43+J43)) * 'Assumptions &amp; Levers'!$C$52</f>
        <v/>
      </c>
      <c r="L44" s="73">
        <f>((H41+I41+J41+K41)*4 - (I43+J43+K43)) * 'Assumptions &amp; Levers'!$C$52</f>
        <v/>
      </c>
      <c r="M44" s="73">
        <f>((I41+J41+K41+L41)*4 - (J43+K43+L43)) * 'Assumptions &amp; Levers'!$C$52</f>
        <v/>
      </c>
      <c r="N44" s="73">
        <f>SUM(D44:M44)</f>
        <v/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D41+D42+D43+D44</f>
        <v/>
      </c>
      <c r="E45" s="74">
        <f>E41+E42+E43+E44</f>
        <v/>
      </c>
      <c r="F45" s="74">
        <f>F41+F42+F43+F44</f>
        <v/>
      </c>
      <c r="G45" s="74">
        <f>G41+G42+G43+G44</f>
        <v/>
      </c>
      <c r="H45" s="74">
        <f>H41+H42+H43+H44</f>
        <v/>
      </c>
      <c r="I45" s="74">
        <f>I41+I42+I43+I44</f>
        <v/>
      </c>
      <c r="J45" s="74">
        <f>J41+J42+J43+J44</f>
        <v/>
      </c>
      <c r="K45" s="74">
        <f>K41+K42+K43+K44</f>
        <v/>
      </c>
      <c r="L45" s="74">
        <f>L41+L42+L43+L44</f>
        <v/>
      </c>
      <c r="M45" s="74">
        <f>M41+M42+M43+M44</f>
        <v/>
      </c>
      <c r="N45" s="74">
        <f>N41+N42+N43+N44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IFERROR(MATCH(TRUE, INDEX(D57:M57&gt;0, 0), 0) - 1 + ABS(INDEX(D57:M57, MATCH(TRUE, INDEX(D57:M57&gt;0, 0), 0)-1)) / INDEX(D56:M56, MATCH(TRUE, INDEX(D57:M57&gt;0, 0), 0)), "Over 10 Years")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7: Own Build Towers + Starlink Backhaul + Non-Deferred Payment</t>
        </is>
      </c>
    </row>
    <row r="2">
      <c r="A2" s="2" t="inlineStr">
        <is>
          <t>Footprint: 1,000 Sites Y1 scaling to 10k | Tower: Own Build (Monopoles) | Backhaul: Starlink | Payment Terms: Non-Deferred (100% Upfront)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Own-Site Passive O&amp;M + DC/Genset Maintenance</t>
        </is>
      </c>
      <c r="C19" s="46" t="inlineStr">
        <is>
          <t>USD</t>
        </is>
      </c>
      <c r="D19" s="73">
        <f>D5*('Assumptions &amp; Levers'!$C$32*12/'Assumptions &amp; Levers'!$C$5 + 'Assumptions &amp; Levers'!$C$29*0.15 + 'Assumptions &amp; Levers'!$C$30*0.15)</f>
        <v/>
      </c>
      <c r="E19" s="73">
        <f>E5*('Assumptions &amp; Levers'!$C$32*12/'Assumptions &amp; Levers'!$C$5 + 'Assumptions &amp; Levers'!$C$29*0.15 + 'Assumptions &amp; Levers'!$C$30*0.15)</f>
        <v/>
      </c>
      <c r="F19" s="73">
        <f>F5*('Assumptions &amp; Levers'!$C$32*12/'Assumptions &amp; Levers'!$C$5 + 'Assumptions &amp; Levers'!$C$29*0.15 + 'Assumptions &amp; Levers'!$C$30*0.15)</f>
        <v/>
      </c>
      <c r="G19" s="73">
        <f>G5*('Assumptions &amp; Levers'!$C$32*12/'Assumptions &amp; Levers'!$C$5 + 'Assumptions &amp; Levers'!$C$29*0.15 + 'Assumptions &amp; Levers'!$C$30*0.15)</f>
        <v/>
      </c>
      <c r="H19" s="73">
        <f>H5*('Assumptions &amp; Levers'!$C$32*12/'Assumptions &amp; Levers'!$C$5 + 'Assumptions &amp; Levers'!$C$29*0.15 + 'Assumptions &amp; Levers'!$C$30*0.15)</f>
        <v/>
      </c>
      <c r="I19" s="73">
        <f>I5*('Assumptions &amp; Levers'!$C$32*12/'Assumptions &amp; Levers'!$C$5 + 'Assumptions &amp; Levers'!$C$29*0.15 + 'Assumptions &amp; Levers'!$C$30*0.15)</f>
        <v/>
      </c>
      <c r="J19" s="73">
        <f>J5*('Assumptions &amp; Levers'!$C$32*12/'Assumptions &amp; Levers'!$C$5 + 'Assumptions &amp; Levers'!$C$29*0.15 + 'Assumptions &amp; Levers'!$C$30*0.15)</f>
        <v/>
      </c>
      <c r="K19" s="73">
        <f>K5*('Assumptions &amp; Levers'!$C$32*12/'Assumptions &amp; Levers'!$C$5 + 'Assumptions &amp; Levers'!$C$29*0.15 + 'Assumptions &amp; Levers'!$C$30*0.15)</f>
        <v/>
      </c>
      <c r="L19" s="73">
        <f>L5*('Assumptions &amp; Levers'!$C$32*12/'Assumptions &amp; Levers'!$C$5 + 'Assumptions &amp; Levers'!$C$29*0.15 + 'Assumptions &amp; Levers'!$C$30*0.15)</f>
        <v/>
      </c>
      <c r="M19" s="73">
        <f>M5*('Assumptions &amp; Levers'!$C$32*12/'Assumptions &amp; Levers'!$C$5 + 'Assumptions &amp; Levers'!$C$29*0.15 + 'Assumptions &amp; Levers'!$C$30*0.15)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>
        <f>D5*('Assumptions &amp; Levers'!$C$33 + 'Assumptions &amp; Levers'!$C$34)*12/'Assumptions &amp; Levers'!$C$5</f>
        <v/>
      </c>
      <c r="E20" s="73">
        <f>E5*('Assumptions &amp; Levers'!$C$33 + 'Assumptions &amp; Levers'!$C$34)*12/'Assumptions &amp; Levers'!$C$5</f>
        <v/>
      </c>
      <c r="F20" s="73">
        <f>F5*('Assumptions &amp; Levers'!$C$33 + 'Assumptions &amp; Levers'!$C$34)*12/'Assumptions &amp; Levers'!$C$5</f>
        <v/>
      </c>
      <c r="G20" s="73">
        <f>G5*('Assumptions &amp; Levers'!$C$33 + 'Assumptions &amp; Levers'!$C$34)*12/'Assumptions &amp; Levers'!$C$5</f>
        <v/>
      </c>
      <c r="H20" s="73">
        <f>H5*('Assumptions &amp; Levers'!$C$33 + 'Assumptions &amp; Levers'!$C$34)*12/'Assumptions &amp; Levers'!$C$5</f>
        <v/>
      </c>
      <c r="I20" s="73">
        <f>I5*('Assumptions &amp; Levers'!$C$33 + 'Assumptions &amp; Levers'!$C$34)*12/'Assumptions &amp; Levers'!$C$5</f>
        <v/>
      </c>
      <c r="J20" s="73">
        <f>J5*('Assumptions &amp; Levers'!$C$33 + 'Assumptions &amp; Levers'!$C$34)*12/'Assumptions &amp; Levers'!$C$5</f>
        <v/>
      </c>
      <c r="K20" s="73">
        <f>K5*('Assumptions &amp; Levers'!$C$33 + 'Assumptions &amp; Levers'!$C$34)*12/'Assumptions &amp; Levers'!$C$5</f>
        <v/>
      </c>
      <c r="L20" s="73">
        <f>L5*('Assumptions &amp; Levers'!$C$33 + 'Assumptions &amp; Levers'!$C$34)*12/'Assumptions &amp; Levers'!$C$5</f>
        <v/>
      </c>
      <c r="M20" s="73">
        <f>M5*('Assumptions &amp; Levers'!$C$33 + 'Assumptions &amp; Levers'!$C$34)*12/'Assumptions &amp; Levers'!$C$5</f>
        <v/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Starlink Subscriptions &amp; HW Spares (100% LEO)</t>
        </is>
      </c>
      <c r="C23" s="46" t="inlineStr">
        <is>
          <t>USD</t>
        </is>
      </c>
      <c r="D23" s="73">
        <f>D5*('Assumptions &amp; Levers'!$C$41*12/'Assumptions &amp; Levers'!$C$5 + ('Assumptions &amp; Levers'!$C$38+'Assumptions &amp; Levers'!$C$39)*'Assumptions &amp; Levers'!$C$42)</f>
        <v/>
      </c>
      <c r="E23" s="73">
        <f>E5*('Assumptions &amp; Levers'!$C$41*12/'Assumptions &amp; Levers'!$C$5 + ('Assumptions &amp; Levers'!$C$38+'Assumptions &amp; Levers'!$C$39)*'Assumptions &amp; Levers'!$C$42)</f>
        <v/>
      </c>
      <c r="F23" s="73">
        <f>F5*('Assumptions &amp; Levers'!$C$41*12/'Assumptions &amp; Levers'!$C$5 + ('Assumptions &amp; Levers'!$C$38+'Assumptions &amp; Levers'!$C$39)*'Assumptions &amp; Levers'!$C$42)</f>
        <v/>
      </c>
      <c r="G23" s="73">
        <f>G5*('Assumptions &amp; Levers'!$C$41*12/'Assumptions &amp; Levers'!$C$5 + ('Assumptions &amp; Levers'!$C$38+'Assumptions &amp; Levers'!$C$39)*'Assumptions &amp; Levers'!$C$42)</f>
        <v/>
      </c>
      <c r="H23" s="73">
        <f>H5*('Assumptions &amp; Levers'!$C$41*12/'Assumptions &amp; Levers'!$C$5 + ('Assumptions &amp; Levers'!$C$38+'Assumptions &amp; Levers'!$C$39)*'Assumptions &amp; Levers'!$C$42)</f>
        <v/>
      </c>
      <c r="I23" s="73">
        <f>I5*('Assumptions &amp; Levers'!$C$41*12/'Assumptions &amp; Levers'!$C$5 + ('Assumptions &amp; Levers'!$C$38+'Assumptions &amp; Levers'!$C$39)*'Assumptions &amp; Levers'!$C$42)</f>
        <v/>
      </c>
      <c r="J23" s="73">
        <f>J5*('Assumptions &amp; Levers'!$C$41*12/'Assumptions &amp; Levers'!$C$5 + ('Assumptions &amp; Levers'!$C$38+'Assumptions &amp; Levers'!$C$39)*'Assumptions &amp; Levers'!$C$42)</f>
        <v/>
      </c>
      <c r="K23" s="73">
        <f>K5*('Assumptions &amp; Levers'!$C$41*12/'Assumptions &amp; Levers'!$C$5 + ('Assumptions &amp; Levers'!$C$38+'Assumptions &amp; Levers'!$C$39)*'Assumptions &amp; Levers'!$C$42)</f>
        <v/>
      </c>
      <c r="L23" s="73">
        <f>L5*('Assumptions &amp; Levers'!$C$41*12/'Assumptions &amp; Levers'!$C$5 + ('Assumptions &amp; Levers'!$C$38+'Assumptions &amp; Levers'!$C$39)*'Assumptions &amp; Levers'!$C$42)</f>
        <v/>
      </c>
      <c r="M23" s="73">
        <f>M5*('Assumptions &amp; Levers'!$C$41*12/'Assumptions &amp; Levers'!$C$5 + ('Assumptions &amp; Levers'!$C$38+'Assumptions &amp; Levers'!$C$39)*'Assumptions &amp; Levers'!$C$42)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>
        <f>D6*('Assumptions &amp; Levers'!$C$28/'Assumptions &amp; Levers'!$C$5 + 'Assumptions &amp; Levers'!$C$29 + 'Assumptions &amp; Levers'!$C$30)</f>
        <v/>
      </c>
      <c r="E35" s="73">
        <f>E6*('Assumptions &amp; Levers'!$C$28/'Assumptions &amp; Levers'!$C$5 + 'Assumptions &amp; Levers'!$C$29 + 'Assumptions &amp; Levers'!$C$30)</f>
        <v/>
      </c>
      <c r="F35" s="73">
        <f>F6*('Assumptions &amp; Levers'!$C$28/'Assumptions &amp; Levers'!$C$5 + 'Assumptions &amp; Levers'!$C$29 + 'Assumptions &amp; Levers'!$C$30)</f>
        <v/>
      </c>
      <c r="G35" s="73">
        <f>G6*('Assumptions &amp; Levers'!$C$28/'Assumptions &amp; Levers'!$C$5 + 'Assumptions &amp; Levers'!$C$29 + 'Assumptions &amp; Levers'!$C$30)</f>
        <v/>
      </c>
      <c r="H35" s="73">
        <f>H6*('Assumptions &amp; Levers'!$C$28/'Assumptions &amp; Levers'!$C$5 + 'Assumptions &amp; Levers'!$C$29 + 'Assumptions &amp; Levers'!$C$30)</f>
        <v/>
      </c>
      <c r="I35" s="73">
        <f>I6*('Assumptions &amp; Levers'!$C$28/'Assumptions &amp; Levers'!$C$5 + 'Assumptions &amp; Levers'!$C$29 + 'Assumptions &amp; Levers'!$C$30)</f>
        <v/>
      </c>
      <c r="J35" s="73">
        <f>J6*('Assumptions &amp; Levers'!$C$28/'Assumptions &amp; Levers'!$C$5 + 'Assumptions &amp; Levers'!$C$29 + 'Assumptions &amp; Levers'!$C$30)</f>
        <v/>
      </c>
      <c r="K35" s="73">
        <f>K6*('Assumptions &amp; Levers'!$C$28/'Assumptions &amp; Levers'!$C$5 + 'Assumptions &amp; Levers'!$C$29 + 'Assumptions &amp; Levers'!$C$30)</f>
        <v/>
      </c>
      <c r="L35" s="73">
        <f>L6*('Assumptions &amp; Levers'!$C$28/'Assumptions &amp; Levers'!$C$5 + 'Assumptions &amp; Levers'!$C$29 + 'Assumptions &amp; Levers'!$C$30)</f>
        <v/>
      </c>
      <c r="M35" s="73">
        <f>M6*('Assumptions &amp; Levers'!$C$28/'Assumptions &amp; Levers'!$C$5 + 'Assumptions &amp; Levers'!$C$29 + 'Assumptions &amp; Levers'!$C$30)</f>
        <v/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>
        <f>D6*('Assumptions &amp; Levers'!$C$38 + 'Assumptions &amp; Levers'!$C$39 + 'Assumptions &amp; Levers'!$C$40)</f>
        <v/>
      </c>
      <c r="E36" s="73">
        <f>E6*('Assumptions &amp; Levers'!$C$38 + 'Assumptions &amp; Levers'!$C$39 + 'Assumptions &amp; Levers'!$C$40)</f>
        <v/>
      </c>
      <c r="F36" s="73">
        <f>F6*('Assumptions &amp; Levers'!$C$38 + 'Assumptions &amp; Levers'!$C$39 + 'Assumptions &amp; Levers'!$C$40)</f>
        <v/>
      </c>
      <c r="G36" s="73">
        <f>G6*('Assumptions &amp; Levers'!$C$38 + 'Assumptions &amp; Levers'!$C$39 + 'Assumptions &amp; Levers'!$C$40)</f>
        <v/>
      </c>
      <c r="H36" s="73">
        <f>H6*('Assumptions &amp; Levers'!$C$38 + 'Assumptions &amp; Levers'!$C$39 + 'Assumptions &amp; Levers'!$C$40)</f>
        <v/>
      </c>
      <c r="I36" s="73">
        <f>I6*('Assumptions &amp; Levers'!$C$38 + 'Assumptions &amp; Levers'!$C$39 + 'Assumptions &amp; Levers'!$C$40)</f>
        <v/>
      </c>
      <c r="J36" s="73">
        <f>J6*('Assumptions &amp; Levers'!$C$38 + 'Assumptions &amp; Levers'!$C$39 + 'Assumptions &amp; Levers'!$C$40)</f>
        <v/>
      </c>
      <c r="K36" s="73">
        <f>K6*('Assumptions &amp; Levers'!$C$38 + 'Assumptions &amp; Levers'!$C$39 + 'Assumptions &amp; Levers'!$C$40)</f>
        <v/>
      </c>
      <c r="L36" s="73">
        <f>L6*('Assumptions &amp; Levers'!$C$38 + 'Assumptions &amp; Levers'!$C$39 + 'Assumptions &amp; Levers'!$C$40)</f>
        <v/>
      </c>
      <c r="M36" s="73">
        <f>M6*('Assumptions &amp; Levers'!$C$38 + 'Assumptions &amp; Levers'!$C$39 + 'Assumptions &amp; Levers'!$C$40)</f>
        <v/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 t="n">
        <v>0</v>
      </c>
      <c r="E41" s="73" t="n">
        <v>0</v>
      </c>
      <c r="F41" s="73" t="n">
        <v>0</v>
      </c>
      <c r="G41" s="73" t="n">
        <v>0</v>
      </c>
      <c r="H41" s="73" t="n">
        <v>0</v>
      </c>
      <c r="I41" s="73" t="n">
        <v>0</v>
      </c>
      <c r="J41" s="73" t="n">
        <v>0</v>
      </c>
      <c r="K41" s="73" t="n">
        <v>0</v>
      </c>
      <c r="L41" s="73" t="n">
        <v>0</v>
      </c>
      <c r="M41" s="73" t="n">
        <v>0</v>
      </c>
      <c r="N41" s="73" t="n">
        <v>0</v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D39</f>
        <v/>
      </c>
      <c r="E42" s="73">
        <f>E39</f>
        <v/>
      </c>
      <c r="F42" s="73">
        <f>F39</f>
        <v/>
      </c>
      <c r="G42" s="73">
        <f>G39</f>
        <v/>
      </c>
      <c r="H42" s="73">
        <f>H39</f>
        <v/>
      </c>
      <c r="I42" s="73">
        <f>I39</f>
        <v/>
      </c>
      <c r="J42" s="73">
        <f>J39</f>
        <v/>
      </c>
      <c r="K42" s="73">
        <f>K39</f>
        <v/>
      </c>
      <c r="L42" s="73">
        <f>L39</f>
        <v/>
      </c>
      <c r="M42" s="73">
        <f>M39</f>
        <v/>
      </c>
      <c r="N42" s="73">
        <f>N39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 t="n">
        <v>0</v>
      </c>
      <c r="F43" s="73" t="n">
        <v>0</v>
      </c>
      <c r="G43" s="73" t="n">
        <v>0</v>
      </c>
      <c r="H43" s="73" t="n">
        <v>0</v>
      </c>
      <c r="I43" s="73" t="n">
        <v>0</v>
      </c>
      <c r="J43" s="73" t="n">
        <v>0</v>
      </c>
      <c r="K43" s="73" t="n">
        <v>0</v>
      </c>
      <c r="L43" s="73" t="n">
        <v>0</v>
      </c>
      <c r="M43" s="73" t="n">
        <v>0</v>
      </c>
      <c r="N43" s="73" t="n">
        <v>0</v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 t="n">
        <v>0</v>
      </c>
      <c r="F44" s="73" t="n">
        <v>0</v>
      </c>
      <c r="G44" s="73" t="n">
        <v>0</v>
      </c>
      <c r="H44" s="73" t="n">
        <v>0</v>
      </c>
      <c r="I44" s="73" t="n">
        <v>0</v>
      </c>
      <c r="J44" s="73" t="n">
        <v>0</v>
      </c>
      <c r="K44" s="73" t="n">
        <v>0</v>
      </c>
      <c r="L44" s="73" t="n">
        <v>0</v>
      </c>
      <c r="M44" s="73" t="n">
        <v>0</v>
      </c>
      <c r="N44" s="73" t="n">
        <v>0</v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D42</f>
        <v/>
      </c>
      <c r="E45" s="74">
        <f>E42</f>
        <v/>
      </c>
      <c r="F45" s="74">
        <f>F42</f>
        <v/>
      </c>
      <c r="G45" s="74">
        <f>G42</f>
        <v/>
      </c>
      <c r="H45" s="74">
        <f>H42</f>
        <v/>
      </c>
      <c r="I45" s="74">
        <f>I42</f>
        <v/>
      </c>
      <c r="J45" s="74">
        <f>J42</f>
        <v/>
      </c>
      <c r="K45" s="74">
        <f>K42</f>
        <v/>
      </c>
      <c r="L45" s="74">
        <f>L42</f>
        <v/>
      </c>
      <c r="M45" s="74">
        <f>M42</f>
        <v/>
      </c>
      <c r="N45" s="74">
        <f>N42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IFERROR(MATCH(TRUE, INDEX(D57:M57&gt;0, 0), 0) - 1 + ABS(INDEX(D57:M57, MATCH(TRUE, INDEX(D57:M57&gt;0, 0), 0)-1)) / INDEX(D56:M56, MATCH(TRUE, INDEX(D57:M57&gt;0, 0), 0)), "Over 10 Years")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8: Own Build Towers + Starlink Backhaul + Deferred Payment</t>
        </is>
      </c>
    </row>
    <row r="2">
      <c r="A2" s="2" t="inlineStr">
        <is>
          <t>Footprint: 1,000 Sites Y1 scaling to 10k | Tower: Own Build (Monopoles) | Backhaul: Starlink | Payment Terms: Deferred (20/80 Vendor Credit)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Own-Site Passive O&amp;M + DC/Genset Maintenance</t>
        </is>
      </c>
      <c r="C19" s="46" t="inlineStr">
        <is>
          <t>USD</t>
        </is>
      </c>
      <c r="D19" s="73">
        <f>D5*('Assumptions &amp; Levers'!$C$32*12/'Assumptions &amp; Levers'!$C$5 + 'Assumptions &amp; Levers'!$C$29*0.15 + 'Assumptions &amp; Levers'!$C$30*0.15)</f>
        <v/>
      </c>
      <c r="E19" s="73">
        <f>E5*('Assumptions &amp; Levers'!$C$32*12/'Assumptions &amp; Levers'!$C$5 + 'Assumptions &amp; Levers'!$C$29*0.15 + 'Assumptions &amp; Levers'!$C$30*0.15)</f>
        <v/>
      </c>
      <c r="F19" s="73">
        <f>F5*('Assumptions &amp; Levers'!$C$32*12/'Assumptions &amp; Levers'!$C$5 + 'Assumptions &amp; Levers'!$C$29*0.15 + 'Assumptions &amp; Levers'!$C$30*0.15)</f>
        <v/>
      </c>
      <c r="G19" s="73">
        <f>G5*('Assumptions &amp; Levers'!$C$32*12/'Assumptions &amp; Levers'!$C$5 + 'Assumptions &amp; Levers'!$C$29*0.15 + 'Assumptions &amp; Levers'!$C$30*0.15)</f>
        <v/>
      </c>
      <c r="H19" s="73">
        <f>H5*('Assumptions &amp; Levers'!$C$32*12/'Assumptions &amp; Levers'!$C$5 + 'Assumptions &amp; Levers'!$C$29*0.15 + 'Assumptions &amp; Levers'!$C$30*0.15)</f>
        <v/>
      </c>
      <c r="I19" s="73">
        <f>I5*('Assumptions &amp; Levers'!$C$32*12/'Assumptions &amp; Levers'!$C$5 + 'Assumptions &amp; Levers'!$C$29*0.15 + 'Assumptions &amp; Levers'!$C$30*0.15)</f>
        <v/>
      </c>
      <c r="J19" s="73">
        <f>J5*('Assumptions &amp; Levers'!$C$32*12/'Assumptions &amp; Levers'!$C$5 + 'Assumptions &amp; Levers'!$C$29*0.15 + 'Assumptions &amp; Levers'!$C$30*0.15)</f>
        <v/>
      </c>
      <c r="K19" s="73">
        <f>K5*('Assumptions &amp; Levers'!$C$32*12/'Assumptions &amp; Levers'!$C$5 + 'Assumptions &amp; Levers'!$C$29*0.15 + 'Assumptions &amp; Levers'!$C$30*0.15)</f>
        <v/>
      </c>
      <c r="L19" s="73">
        <f>L5*('Assumptions &amp; Levers'!$C$32*12/'Assumptions &amp; Levers'!$C$5 + 'Assumptions &amp; Levers'!$C$29*0.15 + 'Assumptions &amp; Levers'!$C$30*0.15)</f>
        <v/>
      </c>
      <c r="M19" s="73">
        <f>M5*('Assumptions &amp; Levers'!$C$32*12/'Assumptions &amp; Levers'!$C$5 + 'Assumptions &amp; Levers'!$C$29*0.15 + 'Assumptions &amp; Levers'!$C$30*0.15)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>
        <f>D5*('Assumptions &amp; Levers'!$C$33 + 'Assumptions &amp; Levers'!$C$34)*12/'Assumptions &amp; Levers'!$C$5</f>
        <v/>
      </c>
      <c r="E20" s="73">
        <f>E5*('Assumptions &amp; Levers'!$C$33 + 'Assumptions &amp; Levers'!$C$34)*12/'Assumptions &amp; Levers'!$C$5</f>
        <v/>
      </c>
      <c r="F20" s="73">
        <f>F5*('Assumptions &amp; Levers'!$C$33 + 'Assumptions &amp; Levers'!$C$34)*12/'Assumptions &amp; Levers'!$C$5</f>
        <v/>
      </c>
      <c r="G20" s="73">
        <f>G5*('Assumptions &amp; Levers'!$C$33 + 'Assumptions &amp; Levers'!$C$34)*12/'Assumptions &amp; Levers'!$C$5</f>
        <v/>
      </c>
      <c r="H20" s="73">
        <f>H5*('Assumptions &amp; Levers'!$C$33 + 'Assumptions &amp; Levers'!$C$34)*12/'Assumptions &amp; Levers'!$C$5</f>
        <v/>
      </c>
      <c r="I20" s="73">
        <f>I5*('Assumptions &amp; Levers'!$C$33 + 'Assumptions &amp; Levers'!$C$34)*12/'Assumptions &amp; Levers'!$C$5</f>
        <v/>
      </c>
      <c r="J20" s="73">
        <f>J5*('Assumptions &amp; Levers'!$C$33 + 'Assumptions &amp; Levers'!$C$34)*12/'Assumptions &amp; Levers'!$C$5</f>
        <v/>
      </c>
      <c r="K20" s="73">
        <f>K5*('Assumptions &amp; Levers'!$C$33 + 'Assumptions &amp; Levers'!$C$34)*12/'Assumptions &amp; Levers'!$C$5</f>
        <v/>
      </c>
      <c r="L20" s="73">
        <f>L5*('Assumptions &amp; Levers'!$C$33 + 'Assumptions &amp; Levers'!$C$34)*12/'Assumptions &amp; Levers'!$C$5</f>
        <v/>
      </c>
      <c r="M20" s="73">
        <f>M5*('Assumptions &amp; Levers'!$C$33 + 'Assumptions &amp; Levers'!$C$34)*12/'Assumptions &amp; Levers'!$C$5</f>
        <v/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Starlink Subscriptions &amp; HW Spares (100% LEO)</t>
        </is>
      </c>
      <c r="C23" s="46" t="inlineStr">
        <is>
          <t>USD</t>
        </is>
      </c>
      <c r="D23" s="73">
        <f>D5*('Assumptions &amp; Levers'!$C$41*12/'Assumptions &amp; Levers'!$C$5 + ('Assumptions &amp; Levers'!$C$38+'Assumptions &amp; Levers'!$C$39)*'Assumptions &amp; Levers'!$C$42)</f>
        <v/>
      </c>
      <c r="E23" s="73">
        <f>E5*('Assumptions &amp; Levers'!$C$41*12/'Assumptions &amp; Levers'!$C$5 + ('Assumptions &amp; Levers'!$C$38+'Assumptions &amp; Levers'!$C$39)*'Assumptions &amp; Levers'!$C$42)</f>
        <v/>
      </c>
      <c r="F23" s="73">
        <f>F5*('Assumptions &amp; Levers'!$C$41*12/'Assumptions &amp; Levers'!$C$5 + ('Assumptions &amp; Levers'!$C$38+'Assumptions &amp; Levers'!$C$39)*'Assumptions &amp; Levers'!$C$42)</f>
        <v/>
      </c>
      <c r="G23" s="73">
        <f>G5*('Assumptions &amp; Levers'!$C$41*12/'Assumptions &amp; Levers'!$C$5 + ('Assumptions &amp; Levers'!$C$38+'Assumptions &amp; Levers'!$C$39)*'Assumptions &amp; Levers'!$C$42)</f>
        <v/>
      </c>
      <c r="H23" s="73">
        <f>H5*('Assumptions &amp; Levers'!$C$41*12/'Assumptions &amp; Levers'!$C$5 + ('Assumptions &amp; Levers'!$C$38+'Assumptions &amp; Levers'!$C$39)*'Assumptions &amp; Levers'!$C$42)</f>
        <v/>
      </c>
      <c r="I23" s="73">
        <f>I5*('Assumptions &amp; Levers'!$C$41*12/'Assumptions &amp; Levers'!$C$5 + ('Assumptions &amp; Levers'!$C$38+'Assumptions &amp; Levers'!$C$39)*'Assumptions &amp; Levers'!$C$42)</f>
        <v/>
      </c>
      <c r="J23" s="73">
        <f>J5*('Assumptions &amp; Levers'!$C$41*12/'Assumptions &amp; Levers'!$C$5 + ('Assumptions &amp; Levers'!$C$38+'Assumptions &amp; Levers'!$C$39)*'Assumptions &amp; Levers'!$C$42)</f>
        <v/>
      </c>
      <c r="K23" s="73">
        <f>K5*('Assumptions &amp; Levers'!$C$41*12/'Assumptions &amp; Levers'!$C$5 + ('Assumptions &amp; Levers'!$C$38+'Assumptions &amp; Levers'!$C$39)*'Assumptions &amp; Levers'!$C$42)</f>
        <v/>
      </c>
      <c r="L23" s="73">
        <f>L5*('Assumptions &amp; Levers'!$C$41*12/'Assumptions &amp; Levers'!$C$5 + ('Assumptions &amp; Levers'!$C$38+'Assumptions &amp; Levers'!$C$39)*'Assumptions &amp; Levers'!$C$42)</f>
        <v/>
      </c>
      <c r="M23" s="73">
        <f>M5*('Assumptions &amp; Levers'!$C$41*12/'Assumptions &amp; Levers'!$C$5 + ('Assumptions &amp; Levers'!$C$38+'Assumptions &amp; Levers'!$C$39)*'Assumptions &amp; Levers'!$C$42)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>
        <f>D6*('Assumptions &amp; Levers'!$C$28/'Assumptions &amp; Levers'!$C$5 + 'Assumptions &amp; Levers'!$C$29 + 'Assumptions &amp; Levers'!$C$30)</f>
        <v/>
      </c>
      <c r="E35" s="73">
        <f>E6*('Assumptions &amp; Levers'!$C$28/'Assumptions &amp; Levers'!$C$5 + 'Assumptions &amp; Levers'!$C$29 + 'Assumptions &amp; Levers'!$C$30)</f>
        <v/>
      </c>
      <c r="F35" s="73">
        <f>F6*('Assumptions &amp; Levers'!$C$28/'Assumptions &amp; Levers'!$C$5 + 'Assumptions &amp; Levers'!$C$29 + 'Assumptions &amp; Levers'!$C$30)</f>
        <v/>
      </c>
      <c r="G35" s="73">
        <f>G6*('Assumptions &amp; Levers'!$C$28/'Assumptions &amp; Levers'!$C$5 + 'Assumptions &amp; Levers'!$C$29 + 'Assumptions &amp; Levers'!$C$30)</f>
        <v/>
      </c>
      <c r="H35" s="73">
        <f>H6*('Assumptions &amp; Levers'!$C$28/'Assumptions &amp; Levers'!$C$5 + 'Assumptions &amp; Levers'!$C$29 + 'Assumptions &amp; Levers'!$C$30)</f>
        <v/>
      </c>
      <c r="I35" s="73">
        <f>I6*('Assumptions &amp; Levers'!$C$28/'Assumptions &amp; Levers'!$C$5 + 'Assumptions &amp; Levers'!$C$29 + 'Assumptions &amp; Levers'!$C$30)</f>
        <v/>
      </c>
      <c r="J35" s="73">
        <f>J6*('Assumptions &amp; Levers'!$C$28/'Assumptions &amp; Levers'!$C$5 + 'Assumptions &amp; Levers'!$C$29 + 'Assumptions &amp; Levers'!$C$30)</f>
        <v/>
      </c>
      <c r="K35" s="73">
        <f>K6*('Assumptions &amp; Levers'!$C$28/'Assumptions &amp; Levers'!$C$5 + 'Assumptions &amp; Levers'!$C$29 + 'Assumptions &amp; Levers'!$C$30)</f>
        <v/>
      </c>
      <c r="L35" s="73">
        <f>L6*('Assumptions &amp; Levers'!$C$28/'Assumptions &amp; Levers'!$C$5 + 'Assumptions &amp; Levers'!$C$29 + 'Assumptions &amp; Levers'!$C$30)</f>
        <v/>
      </c>
      <c r="M35" s="73">
        <f>M6*('Assumptions &amp; Levers'!$C$28/'Assumptions &amp; Levers'!$C$5 + 'Assumptions &amp; Levers'!$C$29 + 'Assumptions &amp; Levers'!$C$30)</f>
        <v/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>
        <f>D6*('Assumptions &amp; Levers'!$C$38 + 'Assumptions &amp; Levers'!$C$39 + 'Assumptions &amp; Levers'!$C$40)</f>
        <v/>
      </c>
      <c r="E36" s="73">
        <f>E6*('Assumptions &amp; Levers'!$C$38 + 'Assumptions &amp; Levers'!$C$39 + 'Assumptions &amp; Levers'!$C$40)</f>
        <v/>
      </c>
      <c r="F36" s="73">
        <f>F6*('Assumptions &amp; Levers'!$C$38 + 'Assumptions &amp; Levers'!$C$39 + 'Assumptions &amp; Levers'!$C$40)</f>
        <v/>
      </c>
      <c r="G36" s="73">
        <f>G6*('Assumptions &amp; Levers'!$C$38 + 'Assumptions &amp; Levers'!$C$39 + 'Assumptions &amp; Levers'!$C$40)</f>
        <v/>
      </c>
      <c r="H36" s="73">
        <f>H6*('Assumptions &amp; Levers'!$C$38 + 'Assumptions &amp; Levers'!$C$39 + 'Assumptions &amp; Levers'!$C$40)</f>
        <v/>
      </c>
      <c r="I36" s="73">
        <f>I6*('Assumptions &amp; Levers'!$C$38 + 'Assumptions &amp; Levers'!$C$39 + 'Assumptions &amp; Levers'!$C$40)</f>
        <v/>
      </c>
      <c r="J36" s="73">
        <f>J6*('Assumptions &amp; Levers'!$C$38 + 'Assumptions &amp; Levers'!$C$39 + 'Assumptions &amp; Levers'!$C$40)</f>
        <v/>
      </c>
      <c r="K36" s="73">
        <f>K6*('Assumptions &amp; Levers'!$C$38 + 'Assumptions &amp; Levers'!$C$39 + 'Assumptions &amp; Levers'!$C$40)</f>
        <v/>
      </c>
      <c r="L36" s="73">
        <f>L6*('Assumptions &amp; Levers'!$C$38 + 'Assumptions &amp; Levers'!$C$39 + 'Assumptions &amp; Levers'!$C$40)</f>
        <v/>
      </c>
      <c r="M36" s="73">
        <f>M6*('Assumptions &amp; Levers'!$C$38 + 'Assumptions &amp; Levers'!$C$39 + 'Assumptions &amp; Levers'!$C$40)</f>
        <v/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>
        <f>(D34+D36+D37)*'Assumptions &amp; Levers'!$C$49</f>
        <v/>
      </c>
      <c r="E41" s="73">
        <f>(E34+E36+E37)*'Assumptions &amp; Levers'!$C$49</f>
        <v/>
      </c>
      <c r="F41" s="73">
        <f>(F34+F36+F37)*'Assumptions &amp; Levers'!$C$49</f>
        <v/>
      </c>
      <c r="G41" s="73">
        <f>(G34+G36+G37)*'Assumptions &amp; Levers'!$C$49</f>
        <v/>
      </c>
      <c r="H41" s="73">
        <f>(H34+H36+H37)*'Assumptions &amp; Levers'!$C$49</f>
        <v/>
      </c>
      <c r="I41" s="73">
        <f>(I34+I36+I37)*'Assumptions &amp; Levers'!$C$49</f>
        <v/>
      </c>
      <c r="J41" s="73">
        <f>(J34+J36+J37)*'Assumptions &amp; Levers'!$C$49</f>
        <v/>
      </c>
      <c r="K41" s="73">
        <f>(K34+K36+K37)*'Assumptions &amp; Levers'!$C$49</f>
        <v/>
      </c>
      <c r="L41" s="73">
        <f>(L34+L36+L37)*'Assumptions &amp; Levers'!$C$49</f>
        <v/>
      </c>
      <c r="M41" s="73">
        <f>(M34+M36+M37)*'Assumptions &amp; Levers'!$C$49</f>
        <v/>
      </c>
      <c r="N41" s="73">
        <f>SUM(D41:M41)</f>
        <v/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D35+D38</f>
        <v/>
      </c>
      <c r="E42" s="73">
        <f>E35+E38</f>
        <v/>
      </c>
      <c r="F42" s="73">
        <f>F35+F38</f>
        <v/>
      </c>
      <c r="G42" s="73">
        <f>G35+G38</f>
        <v/>
      </c>
      <c r="H42" s="73">
        <f>H35+H38</f>
        <v/>
      </c>
      <c r="I42" s="73">
        <f>I35+I38</f>
        <v/>
      </c>
      <c r="J42" s="73">
        <f>J35+J38</f>
        <v/>
      </c>
      <c r="K42" s="73">
        <f>K35+K38</f>
        <v/>
      </c>
      <c r="L42" s="73">
        <f>L35+L38</f>
        <v/>
      </c>
      <c r="M42" s="73">
        <f>M35+M38</f>
        <v/>
      </c>
      <c r="N42" s="73">
        <f>SUM(D42:M42)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>
        <f>D41</f>
        <v/>
      </c>
      <c r="F43" s="73">
        <f>D41+E41</f>
        <v/>
      </c>
      <c r="G43" s="73">
        <f>D41+E41+F41</f>
        <v/>
      </c>
      <c r="H43" s="73">
        <f>D41+E41+F41+G41</f>
        <v/>
      </c>
      <c r="I43" s="73">
        <f>E41+F41+G41+H41</f>
        <v/>
      </c>
      <c r="J43" s="73">
        <f>F41+G41+H41+I41</f>
        <v/>
      </c>
      <c r="K43" s="73">
        <f>G41+H41+I41+J41</f>
        <v/>
      </c>
      <c r="L43" s="73">
        <f>H41+I41+J41+K41</f>
        <v/>
      </c>
      <c r="M43" s="73">
        <f>I41+J41+K41+L41</f>
        <v/>
      </c>
      <c r="N43" s="73">
        <f>SUM(D43:M43)</f>
        <v/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>
        <f>(D41 * 4) * 'Assumptions &amp; Levers'!$C$52</f>
        <v/>
      </c>
      <c r="F44" s="73">
        <f>((D41+E41)*4 - E43) * 'Assumptions &amp; Levers'!$C$52</f>
        <v/>
      </c>
      <c r="G44" s="73">
        <f>((D41+E41+F41)*4 - (E43+F43)) * 'Assumptions &amp; Levers'!$C$52</f>
        <v/>
      </c>
      <c r="H44" s="73">
        <f>((D41+E41+F41+G41)*4 - (E43+F43+G43)) * 'Assumptions &amp; Levers'!$C$52</f>
        <v/>
      </c>
      <c r="I44" s="73">
        <f>((E41+F41+G41+H41)*4 - (F43+G43+H43)) * 'Assumptions &amp; Levers'!$C$52</f>
        <v/>
      </c>
      <c r="J44" s="73">
        <f>((F41+G41+H41+I41)*4 - (G43+H43+I43)) * 'Assumptions &amp; Levers'!$C$52</f>
        <v/>
      </c>
      <c r="K44" s="73">
        <f>((G41+H41+I41+J41)*4 - (H43+I43+J43)) * 'Assumptions &amp; Levers'!$C$52</f>
        <v/>
      </c>
      <c r="L44" s="73">
        <f>((H41+I41+J41+K41)*4 - (I43+J43+K43)) * 'Assumptions &amp; Levers'!$C$52</f>
        <v/>
      </c>
      <c r="M44" s="73">
        <f>((I41+J41+K41+L41)*4 - (J43+K43+L43)) * 'Assumptions &amp; Levers'!$C$52</f>
        <v/>
      </c>
      <c r="N44" s="73">
        <f>SUM(D44:M44)</f>
        <v/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D41+D42+D43+D44</f>
        <v/>
      </c>
      <c r="E45" s="74">
        <f>E41+E42+E43+E44</f>
        <v/>
      </c>
      <c r="F45" s="74">
        <f>F41+F42+F43+F44</f>
        <v/>
      </c>
      <c r="G45" s="74">
        <f>G41+G42+G43+G44</f>
        <v/>
      </c>
      <c r="H45" s="74">
        <f>H41+H42+H43+H44</f>
        <v/>
      </c>
      <c r="I45" s="74">
        <f>I41+I42+I43+I44</f>
        <v/>
      </c>
      <c r="J45" s="74">
        <f>J41+J42+J43+J44</f>
        <v/>
      </c>
      <c r="K45" s="74">
        <f>K41+K42+K43+K44</f>
        <v/>
      </c>
      <c r="L45" s="74">
        <f>L41+L42+L43+L44</f>
        <v/>
      </c>
      <c r="M45" s="74">
        <f>M41+M42+M43+M44</f>
        <v/>
      </c>
      <c r="N45" s="74">
        <f>N41+N42+N43+N44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IFERROR(MATCH(TRUE, INDEX(D57:M57&gt;0, 0), 0) - 1 + ABS(INDEX(D57:M57, MATCH(TRUE, INDEX(D57:M57&gt;0, 0), 0)-1)) / INDEX(D56:M56, MATCH(TRUE, INDEX(D57:M57&gt;0, 0), 0)), "Over 10 Years")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9: Audited Model 1 Commercial (98.3% Fiber / 1.7% Starlink, Deferred)</t>
        </is>
      </c>
    </row>
    <row r="2">
      <c r="A2" s="2" t="inlineStr">
        <is>
          <t>Footprint: 1,000 Sites Y1 scaling to 10k | Tower: Leased (TowerCo) | Backhaul: Hybrid_M1 | Payment Terms: Deferred (20/80 Vendor Credit)</t>
        </is>
      </c>
    </row>
    <row r="4">
      <c r="A4" s="56" t="inlineStr">
        <is>
          <t>Category</t>
        </is>
      </c>
      <c r="B4" s="56" t="inlineStr">
        <is>
          <t>Line Item</t>
        </is>
      </c>
      <c r="C4" s="56" t="inlineStr">
        <is>
          <t>Unit</t>
        </is>
      </c>
      <c r="D4" s="56" t="inlineStr">
        <is>
          <t>Year 1</t>
        </is>
      </c>
      <c r="E4" s="56" t="inlineStr">
        <is>
          <t>Year 2</t>
        </is>
      </c>
      <c r="F4" s="56" t="inlineStr">
        <is>
          <t>Year 3</t>
        </is>
      </c>
      <c r="G4" s="56" t="inlineStr">
        <is>
          <t>Year 4</t>
        </is>
      </c>
      <c r="H4" s="56" t="inlineStr">
        <is>
          <t>Year 5</t>
        </is>
      </c>
      <c r="I4" s="56" t="inlineStr">
        <is>
          <t>Year 6</t>
        </is>
      </c>
      <c r="J4" s="56" t="inlineStr">
        <is>
          <t>Year 7</t>
        </is>
      </c>
      <c r="K4" s="56" t="inlineStr">
        <is>
          <t>Year 8</t>
        </is>
      </c>
      <c r="L4" s="56" t="inlineStr">
        <is>
          <t>Year 9</t>
        </is>
      </c>
      <c r="M4" s="56" t="inlineStr">
        <is>
          <t>Year 10</t>
        </is>
      </c>
      <c r="N4" s="56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Tower Lease (incl DC &amp; Passive O&amp;M)</t>
        </is>
      </c>
      <c r="C19" s="46" t="inlineStr">
        <is>
          <t>USD</t>
        </is>
      </c>
      <c r="D19" s="73">
        <f>D5*'Assumptions &amp; Levers'!$C$31*12/'Assumptions &amp; Levers'!$C$5</f>
        <v/>
      </c>
      <c r="E19" s="73">
        <f>E5*'Assumptions &amp; Levers'!$C$31*12/'Assumptions &amp; Levers'!$C$5</f>
        <v/>
      </c>
      <c r="F19" s="73">
        <f>F5*'Assumptions &amp; Levers'!$C$31*12/'Assumptions &amp; Levers'!$C$5</f>
        <v/>
      </c>
      <c r="G19" s="73">
        <f>G5*'Assumptions &amp; Levers'!$C$31*12/'Assumptions &amp; Levers'!$C$5</f>
        <v/>
      </c>
      <c r="H19" s="73">
        <f>H5*'Assumptions &amp; Levers'!$C$31*12/'Assumptions &amp; Levers'!$C$5</f>
        <v/>
      </c>
      <c r="I19" s="73">
        <f>I5*'Assumptions &amp; Levers'!$C$31*12/'Assumptions &amp; Levers'!$C$5</f>
        <v/>
      </c>
      <c r="J19" s="73">
        <f>J5*'Assumptions &amp; Levers'!$C$31*12/'Assumptions &amp; Levers'!$C$5</f>
        <v/>
      </c>
      <c r="K19" s="73">
        <f>K5*'Assumptions &amp; Levers'!$C$31*12/'Assumptions &amp; Levers'!$C$5</f>
        <v/>
      </c>
      <c r="L19" s="73">
        <f>L5*'Assumptions &amp; Levers'!$C$31*12/'Assumptions &amp; Levers'!$C$5</f>
        <v/>
      </c>
      <c r="M19" s="73">
        <f>M5*'Assumptions &amp; Levers'!$C$31*12/'Assumptions &amp; Levers'!$C$5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 t="n">
        <v>0</v>
      </c>
      <c r="E20" s="73" t="n">
        <v>0</v>
      </c>
      <c r="F20" s="73" t="n">
        <v>0</v>
      </c>
      <c r="G20" s="73" t="n">
        <v>0</v>
      </c>
      <c r="H20" s="73" t="n">
        <v>0</v>
      </c>
      <c r="I20" s="73" t="n">
        <v>0</v>
      </c>
      <c r="J20" s="73" t="n">
        <v>0</v>
      </c>
      <c r="K20" s="73" t="n">
        <v>0</v>
      </c>
      <c r="L20" s="73" t="n">
        <v>0</v>
      </c>
      <c r="M20" s="73" t="n">
        <v>0</v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Audited Hybrid Transmission (98.3% Fiber / 1.7% Starlink)</t>
        </is>
      </c>
      <c r="C23" s="46" t="inlineStr">
        <is>
          <t>USD</t>
        </is>
      </c>
      <c r="D23" s="73">
        <f>D5 * (0.983*'Assumptions &amp; Levers'!$C$65 + 0.017*'Assumptions &amp; Levers'!$C$67)*12/'Assumptions &amp; Levers'!$C$5</f>
        <v/>
      </c>
      <c r="E23" s="73">
        <f>E5 * (0.983*'Assumptions &amp; Levers'!$C$65 + 0.017*'Assumptions &amp; Levers'!$C$67)*12/'Assumptions &amp; Levers'!$C$5</f>
        <v/>
      </c>
      <c r="F23" s="73">
        <f>F5 * (0.983*'Assumptions &amp; Levers'!$C$65 + 0.017*'Assumptions &amp; Levers'!$C$67)*12/'Assumptions &amp; Levers'!$C$5</f>
        <v/>
      </c>
      <c r="G23" s="73">
        <f>G5 * (0.983*'Assumptions &amp; Levers'!$C$65 + 0.017*'Assumptions &amp; Levers'!$C$67)*12/'Assumptions &amp; Levers'!$C$5</f>
        <v/>
      </c>
      <c r="H23" s="73">
        <f>H5 * (0.983*'Assumptions &amp; Levers'!$C$65 + 0.017*'Assumptions &amp; Levers'!$C$67)*12/'Assumptions &amp; Levers'!$C$5</f>
        <v/>
      </c>
      <c r="I23" s="73">
        <f>I5 * (0.983*'Assumptions &amp; Levers'!$C$65 + 0.017*'Assumptions &amp; Levers'!$C$67)*12/'Assumptions &amp; Levers'!$C$5</f>
        <v/>
      </c>
      <c r="J23" s="73">
        <f>J5 * (0.983*'Assumptions &amp; Levers'!$C$65 + 0.017*'Assumptions &amp; Levers'!$C$67)*12/'Assumptions &amp; Levers'!$C$5</f>
        <v/>
      </c>
      <c r="K23" s="73">
        <f>K5 * (0.983*'Assumptions &amp; Levers'!$C$65 + 0.017*'Assumptions &amp; Levers'!$C$67)*12/'Assumptions &amp; Levers'!$C$5</f>
        <v/>
      </c>
      <c r="L23" s="73">
        <f>L5 * (0.983*'Assumptions &amp; Levers'!$C$65 + 0.017*'Assumptions &amp; Levers'!$C$67)*12/'Assumptions &amp; Levers'!$C$5</f>
        <v/>
      </c>
      <c r="M23" s="73">
        <f>M5 * (0.983*'Assumptions &amp; Levers'!$C$65 + 0.017*'Assumptions &amp; Levers'!$C$67)*12/'Assumptions &amp; Levers'!$C$5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 t="n">
        <v>0</v>
      </c>
      <c r="E35" s="73" t="n">
        <v>0</v>
      </c>
      <c r="F35" s="73" t="n">
        <v>0</v>
      </c>
      <c r="G35" s="73" t="n">
        <v>0</v>
      </c>
      <c r="H35" s="73" t="n">
        <v>0</v>
      </c>
      <c r="I35" s="73" t="n">
        <v>0</v>
      </c>
      <c r="J35" s="73" t="n">
        <v>0</v>
      </c>
      <c r="K35" s="73" t="n">
        <v>0</v>
      </c>
      <c r="L35" s="73" t="n">
        <v>0</v>
      </c>
      <c r="M35" s="73" t="n">
        <v>0</v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>
        <f>D6 * (0.983*'Assumptions &amp; Levers'!$C$63 + 0.017*'Assumptions &amp; Levers'!$C$66)/'Assumptions &amp; Levers'!$C$5</f>
        <v/>
      </c>
      <c r="E36" s="73">
        <f>E6 * (0.983*'Assumptions &amp; Levers'!$C$63 + 0.017*'Assumptions &amp; Levers'!$C$66)/'Assumptions &amp; Levers'!$C$5</f>
        <v/>
      </c>
      <c r="F36" s="73">
        <f>F6 * (0.983*'Assumptions &amp; Levers'!$C$63 + 0.017*'Assumptions &amp; Levers'!$C$66)/'Assumptions &amp; Levers'!$C$5</f>
        <v/>
      </c>
      <c r="G36" s="73">
        <f>G6 * (0.983*'Assumptions &amp; Levers'!$C$63 + 0.017*'Assumptions &amp; Levers'!$C$66)/'Assumptions &amp; Levers'!$C$5</f>
        <v/>
      </c>
      <c r="H36" s="73">
        <f>H6 * (0.983*'Assumptions &amp; Levers'!$C$63 + 0.017*'Assumptions &amp; Levers'!$C$66)/'Assumptions &amp; Levers'!$C$5</f>
        <v/>
      </c>
      <c r="I36" s="73">
        <f>I6 * (0.983*'Assumptions &amp; Levers'!$C$63 + 0.017*'Assumptions &amp; Levers'!$C$66)/'Assumptions &amp; Levers'!$C$5</f>
        <v/>
      </c>
      <c r="J36" s="73">
        <f>J6 * (0.983*'Assumptions &amp; Levers'!$C$63 + 0.017*'Assumptions &amp; Levers'!$C$66)/'Assumptions &amp; Levers'!$C$5</f>
        <v/>
      </c>
      <c r="K36" s="73">
        <f>K6 * (0.983*'Assumptions &amp; Levers'!$C$63 + 0.017*'Assumptions &amp; Levers'!$C$66)/'Assumptions &amp; Levers'!$C$5</f>
        <v/>
      </c>
      <c r="L36" s="73">
        <f>L6 * (0.983*'Assumptions &amp; Levers'!$C$63 + 0.017*'Assumptions &amp; Levers'!$C$66)/'Assumptions &amp; Levers'!$C$5</f>
        <v/>
      </c>
      <c r="M36" s="73">
        <f>M6 * (0.983*'Assumptions &amp; Levers'!$C$63 + 0.017*'Assumptions &amp; Levers'!$C$66)/'Assumptions &amp; Levers'!$C$5</f>
        <v/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>
        <f>(D34+D36+D37)*'Assumptions &amp; Levers'!$C$49</f>
        <v/>
      </c>
      <c r="E41" s="73">
        <f>(E34+E36+E37)*'Assumptions &amp; Levers'!$C$49</f>
        <v/>
      </c>
      <c r="F41" s="73">
        <f>(F34+F36+F37)*'Assumptions &amp; Levers'!$C$49</f>
        <v/>
      </c>
      <c r="G41" s="73">
        <f>(G34+G36+G37)*'Assumptions &amp; Levers'!$C$49</f>
        <v/>
      </c>
      <c r="H41" s="73">
        <f>(H34+H36+H37)*'Assumptions &amp; Levers'!$C$49</f>
        <v/>
      </c>
      <c r="I41" s="73">
        <f>(I34+I36+I37)*'Assumptions &amp; Levers'!$C$49</f>
        <v/>
      </c>
      <c r="J41" s="73">
        <f>(J34+J36+J37)*'Assumptions &amp; Levers'!$C$49</f>
        <v/>
      </c>
      <c r="K41" s="73">
        <f>(K34+K36+K37)*'Assumptions &amp; Levers'!$C$49</f>
        <v/>
      </c>
      <c r="L41" s="73">
        <f>(L34+L36+L37)*'Assumptions &amp; Levers'!$C$49</f>
        <v/>
      </c>
      <c r="M41" s="73">
        <f>(M34+M36+M37)*'Assumptions &amp; Levers'!$C$49</f>
        <v/>
      </c>
      <c r="N41" s="73">
        <f>SUM(D41:M41)</f>
        <v/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D35+D38</f>
        <v/>
      </c>
      <c r="E42" s="73">
        <f>E35+E38</f>
        <v/>
      </c>
      <c r="F42" s="73">
        <f>F35+F38</f>
        <v/>
      </c>
      <c r="G42" s="73">
        <f>G35+G38</f>
        <v/>
      </c>
      <c r="H42" s="73">
        <f>H35+H38</f>
        <v/>
      </c>
      <c r="I42" s="73">
        <f>I35+I38</f>
        <v/>
      </c>
      <c r="J42" s="73">
        <f>J35+J38</f>
        <v/>
      </c>
      <c r="K42" s="73">
        <f>K35+K38</f>
        <v/>
      </c>
      <c r="L42" s="73">
        <f>L35+L38</f>
        <v/>
      </c>
      <c r="M42" s="73">
        <f>M35+M38</f>
        <v/>
      </c>
      <c r="N42" s="73">
        <f>SUM(D42:M42)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>
        <f>D41</f>
        <v/>
      </c>
      <c r="F43" s="73">
        <f>D41+E41</f>
        <v/>
      </c>
      <c r="G43" s="73">
        <f>D41+E41+F41</f>
        <v/>
      </c>
      <c r="H43" s="73">
        <f>D41+E41+F41+G41</f>
        <v/>
      </c>
      <c r="I43" s="73">
        <f>E41+F41+G41+H41</f>
        <v/>
      </c>
      <c r="J43" s="73">
        <f>F41+G41+H41+I41</f>
        <v/>
      </c>
      <c r="K43" s="73">
        <f>G41+H41+I41+J41</f>
        <v/>
      </c>
      <c r="L43" s="73">
        <f>H41+I41+J41+K41</f>
        <v/>
      </c>
      <c r="M43" s="73">
        <f>I41+J41+K41+L41</f>
        <v/>
      </c>
      <c r="N43" s="73">
        <f>SUM(D43:M43)</f>
        <v/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>
        <f>(D41 * 4) * 'Assumptions &amp; Levers'!$C$52</f>
        <v/>
      </c>
      <c r="F44" s="73">
        <f>((D41+E41)*4 - E43) * 'Assumptions &amp; Levers'!$C$52</f>
        <v/>
      </c>
      <c r="G44" s="73">
        <f>((D41+E41+F41)*4 - (E43+F43)) * 'Assumptions &amp; Levers'!$C$52</f>
        <v/>
      </c>
      <c r="H44" s="73">
        <f>((D41+E41+F41+G41)*4 - (E43+F43+G43)) * 'Assumptions &amp; Levers'!$C$52</f>
        <v/>
      </c>
      <c r="I44" s="73">
        <f>((E41+F41+G41+H41)*4 - (F43+G43+H43)) * 'Assumptions &amp; Levers'!$C$52</f>
        <v/>
      </c>
      <c r="J44" s="73">
        <f>((F41+G41+H41+I41)*4 - (G43+H43+I43)) * 'Assumptions &amp; Levers'!$C$52</f>
        <v/>
      </c>
      <c r="K44" s="73">
        <f>((G41+H41+I41+J41)*4 - (H43+I43+J43)) * 'Assumptions &amp; Levers'!$C$52</f>
        <v/>
      </c>
      <c r="L44" s="73">
        <f>((H41+I41+J41+K41)*4 - (I43+J43+K43)) * 'Assumptions &amp; Levers'!$C$52</f>
        <v/>
      </c>
      <c r="M44" s="73">
        <f>((I41+J41+K41+L41)*4 - (J43+K43+L43)) * 'Assumptions &amp; Levers'!$C$52</f>
        <v/>
      </c>
      <c r="N44" s="73">
        <f>SUM(D44:M44)</f>
        <v/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D41+D42+D43+D44</f>
        <v/>
      </c>
      <c r="E45" s="74">
        <f>E41+E42+E43+E44</f>
        <v/>
      </c>
      <c r="F45" s="74">
        <f>F41+F42+F43+F44</f>
        <v/>
      </c>
      <c r="G45" s="74">
        <f>G41+G42+G43+G44</f>
        <v/>
      </c>
      <c r="H45" s="74">
        <f>H41+H42+H43+H44</f>
        <v/>
      </c>
      <c r="I45" s="74">
        <f>I41+I42+I43+I44</f>
        <v/>
      </c>
      <c r="J45" s="74">
        <f>J41+J42+J43+J44</f>
        <v/>
      </c>
      <c r="K45" s="74">
        <f>K41+K42+K43+K44</f>
        <v/>
      </c>
      <c r="L45" s="74">
        <f>L41+L42+L43+L44</f>
        <v/>
      </c>
      <c r="M45" s="74">
        <f>M41+M42+M43+M44</f>
        <v/>
      </c>
      <c r="N45" s="74">
        <f>N41+N42+N43+N44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IFERROR(MATCH(TRUE, INDEX(D57:M57&gt;0, 0), 0) - 1 + ABS(INDEX(D57:M57, MATCH(TRUE, INDEX(D57:M57&gt;0, 0), 0)-1)) / INDEX(D56:M56, MATCH(TRUE, INDEX(D57:M57&gt;0, 0), 0)), "Over 10 Years")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10: Audited Model 2 GIDA Universal Access (33.5% Fiber / 66.5% Starlink, Deferred)</t>
        </is>
      </c>
    </row>
    <row r="2">
      <c r="A2" s="2" t="inlineStr">
        <is>
          <t>Footprint: 1,000 Sites Y1 scaling to 10k | Tower: Leased (TowerCo) | Backhaul: Hybrid_M2 | Payment Terms: Deferred (20/80 Vendor Credit)</t>
        </is>
      </c>
    </row>
    <row r="4">
      <c r="A4" s="56" t="inlineStr">
        <is>
          <t>Category</t>
        </is>
      </c>
      <c r="B4" s="56" t="inlineStr">
        <is>
          <t>Line Item</t>
        </is>
      </c>
      <c r="C4" s="56" t="inlineStr">
        <is>
          <t>Unit</t>
        </is>
      </c>
      <c r="D4" s="56" t="inlineStr">
        <is>
          <t>Year 1</t>
        </is>
      </c>
      <c r="E4" s="56" t="inlineStr">
        <is>
          <t>Year 2</t>
        </is>
      </c>
      <c r="F4" s="56" t="inlineStr">
        <is>
          <t>Year 3</t>
        </is>
      </c>
      <c r="G4" s="56" t="inlineStr">
        <is>
          <t>Year 4</t>
        </is>
      </c>
      <c r="H4" s="56" t="inlineStr">
        <is>
          <t>Year 5</t>
        </is>
      </c>
      <c r="I4" s="56" t="inlineStr">
        <is>
          <t>Year 6</t>
        </is>
      </c>
      <c r="J4" s="56" t="inlineStr">
        <is>
          <t>Year 7</t>
        </is>
      </c>
      <c r="K4" s="56" t="inlineStr">
        <is>
          <t>Year 8</t>
        </is>
      </c>
      <c r="L4" s="56" t="inlineStr">
        <is>
          <t>Year 9</t>
        </is>
      </c>
      <c r="M4" s="56" t="inlineStr">
        <is>
          <t>Year 10</t>
        </is>
      </c>
      <c r="N4" s="56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Tower Lease (incl DC &amp; Passive O&amp;M)</t>
        </is>
      </c>
      <c r="C19" s="46" t="inlineStr">
        <is>
          <t>USD</t>
        </is>
      </c>
      <c r="D19" s="73">
        <f>D5*'Assumptions &amp; Levers'!$C$31*12/'Assumptions &amp; Levers'!$C$5</f>
        <v/>
      </c>
      <c r="E19" s="73">
        <f>E5*'Assumptions &amp; Levers'!$C$31*12/'Assumptions &amp; Levers'!$C$5</f>
        <v/>
      </c>
      <c r="F19" s="73">
        <f>F5*'Assumptions &amp; Levers'!$C$31*12/'Assumptions &amp; Levers'!$C$5</f>
        <v/>
      </c>
      <c r="G19" s="73">
        <f>G5*'Assumptions &amp; Levers'!$C$31*12/'Assumptions &amp; Levers'!$C$5</f>
        <v/>
      </c>
      <c r="H19" s="73">
        <f>H5*'Assumptions &amp; Levers'!$C$31*12/'Assumptions &amp; Levers'!$C$5</f>
        <v/>
      </c>
      <c r="I19" s="73">
        <f>I5*'Assumptions &amp; Levers'!$C$31*12/'Assumptions &amp; Levers'!$C$5</f>
        <v/>
      </c>
      <c r="J19" s="73">
        <f>J5*'Assumptions &amp; Levers'!$C$31*12/'Assumptions &amp; Levers'!$C$5</f>
        <v/>
      </c>
      <c r="K19" s="73">
        <f>K5*'Assumptions &amp; Levers'!$C$31*12/'Assumptions &amp; Levers'!$C$5</f>
        <v/>
      </c>
      <c r="L19" s="73">
        <f>L5*'Assumptions &amp; Levers'!$C$31*12/'Assumptions &amp; Levers'!$C$5</f>
        <v/>
      </c>
      <c r="M19" s="73">
        <f>M5*'Assumptions &amp; Levers'!$C$31*12/'Assumptions &amp; Levers'!$C$5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 t="n">
        <v>0</v>
      </c>
      <c r="E20" s="73" t="n">
        <v>0</v>
      </c>
      <c r="F20" s="73" t="n">
        <v>0</v>
      </c>
      <c r="G20" s="73" t="n">
        <v>0</v>
      </c>
      <c r="H20" s="73" t="n">
        <v>0</v>
      </c>
      <c r="I20" s="73" t="n">
        <v>0</v>
      </c>
      <c r="J20" s="73" t="n">
        <v>0</v>
      </c>
      <c r="K20" s="73" t="n">
        <v>0</v>
      </c>
      <c r="L20" s="73" t="n">
        <v>0</v>
      </c>
      <c r="M20" s="73" t="n">
        <v>0</v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Audited Hybrid Transmission (33.5% Fiber / 66.5% Starlink)</t>
        </is>
      </c>
      <c r="C23" s="46" t="inlineStr">
        <is>
          <t>USD</t>
        </is>
      </c>
      <c r="D23" s="73">
        <f>D5 * (0.335*'Assumptions &amp; Levers'!$C$65 + 0.665*'Assumptions &amp; Levers'!$C$67)*12/'Assumptions &amp; Levers'!$C$5</f>
        <v/>
      </c>
      <c r="E23" s="73">
        <f>E5 * (0.335*'Assumptions &amp; Levers'!$C$65 + 0.665*'Assumptions &amp; Levers'!$C$67)*12/'Assumptions &amp; Levers'!$C$5</f>
        <v/>
      </c>
      <c r="F23" s="73">
        <f>F5 * (0.335*'Assumptions &amp; Levers'!$C$65 + 0.665*'Assumptions &amp; Levers'!$C$67)*12/'Assumptions &amp; Levers'!$C$5</f>
        <v/>
      </c>
      <c r="G23" s="73">
        <f>G5 * (0.335*'Assumptions &amp; Levers'!$C$65 + 0.665*'Assumptions &amp; Levers'!$C$67)*12/'Assumptions &amp; Levers'!$C$5</f>
        <v/>
      </c>
      <c r="H23" s="73">
        <f>H5 * (0.335*'Assumptions &amp; Levers'!$C$65 + 0.665*'Assumptions &amp; Levers'!$C$67)*12/'Assumptions &amp; Levers'!$C$5</f>
        <v/>
      </c>
      <c r="I23" s="73">
        <f>I5 * (0.335*'Assumptions &amp; Levers'!$C$65 + 0.665*'Assumptions &amp; Levers'!$C$67)*12/'Assumptions &amp; Levers'!$C$5</f>
        <v/>
      </c>
      <c r="J23" s="73">
        <f>J5 * (0.335*'Assumptions &amp; Levers'!$C$65 + 0.665*'Assumptions &amp; Levers'!$C$67)*12/'Assumptions &amp; Levers'!$C$5</f>
        <v/>
      </c>
      <c r="K23" s="73">
        <f>K5 * (0.335*'Assumptions &amp; Levers'!$C$65 + 0.665*'Assumptions &amp; Levers'!$C$67)*12/'Assumptions &amp; Levers'!$C$5</f>
        <v/>
      </c>
      <c r="L23" s="73">
        <f>L5 * (0.335*'Assumptions &amp; Levers'!$C$65 + 0.665*'Assumptions &amp; Levers'!$C$67)*12/'Assumptions &amp; Levers'!$C$5</f>
        <v/>
      </c>
      <c r="M23" s="73">
        <f>M5 * (0.335*'Assumptions &amp; Levers'!$C$65 + 0.665*'Assumptions &amp; Levers'!$C$67)*12/'Assumptions &amp; Levers'!$C$5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 t="n">
        <v>0</v>
      </c>
      <c r="E35" s="73" t="n">
        <v>0</v>
      </c>
      <c r="F35" s="73" t="n">
        <v>0</v>
      </c>
      <c r="G35" s="73" t="n">
        <v>0</v>
      </c>
      <c r="H35" s="73" t="n">
        <v>0</v>
      </c>
      <c r="I35" s="73" t="n">
        <v>0</v>
      </c>
      <c r="J35" s="73" t="n">
        <v>0</v>
      </c>
      <c r="K35" s="73" t="n">
        <v>0</v>
      </c>
      <c r="L35" s="73" t="n">
        <v>0</v>
      </c>
      <c r="M35" s="73" t="n">
        <v>0</v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>
        <f>D6 * (0.335*'Assumptions &amp; Levers'!$C$63 + 0.665*'Assumptions &amp; Levers'!$C$66)/'Assumptions &amp; Levers'!$C$5</f>
        <v/>
      </c>
      <c r="E36" s="73">
        <f>E6 * (0.335*'Assumptions &amp; Levers'!$C$63 + 0.665*'Assumptions &amp; Levers'!$C$66)/'Assumptions &amp; Levers'!$C$5</f>
        <v/>
      </c>
      <c r="F36" s="73">
        <f>F6 * (0.335*'Assumptions &amp; Levers'!$C$63 + 0.665*'Assumptions &amp; Levers'!$C$66)/'Assumptions &amp; Levers'!$C$5</f>
        <v/>
      </c>
      <c r="G36" s="73">
        <f>G6 * (0.335*'Assumptions &amp; Levers'!$C$63 + 0.665*'Assumptions &amp; Levers'!$C$66)/'Assumptions &amp; Levers'!$C$5</f>
        <v/>
      </c>
      <c r="H36" s="73">
        <f>H6 * (0.335*'Assumptions &amp; Levers'!$C$63 + 0.665*'Assumptions &amp; Levers'!$C$66)/'Assumptions &amp; Levers'!$C$5</f>
        <v/>
      </c>
      <c r="I36" s="73">
        <f>I6 * (0.335*'Assumptions &amp; Levers'!$C$63 + 0.665*'Assumptions &amp; Levers'!$C$66)/'Assumptions &amp; Levers'!$C$5</f>
        <v/>
      </c>
      <c r="J36" s="73">
        <f>J6 * (0.335*'Assumptions &amp; Levers'!$C$63 + 0.665*'Assumptions &amp; Levers'!$C$66)/'Assumptions &amp; Levers'!$C$5</f>
        <v/>
      </c>
      <c r="K36" s="73">
        <f>K6 * (0.335*'Assumptions &amp; Levers'!$C$63 + 0.665*'Assumptions &amp; Levers'!$C$66)/'Assumptions &amp; Levers'!$C$5</f>
        <v/>
      </c>
      <c r="L36" s="73">
        <f>L6 * (0.335*'Assumptions &amp; Levers'!$C$63 + 0.665*'Assumptions &amp; Levers'!$C$66)/'Assumptions &amp; Levers'!$C$5</f>
        <v/>
      </c>
      <c r="M36" s="73">
        <f>M6 * (0.335*'Assumptions &amp; Levers'!$C$63 + 0.665*'Assumptions &amp; Levers'!$C$66)/'Assumptions &amp; Levers'!$C$5</f>
        <v/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>
        <f>(D34+D36+D37)*'Assumptions &amp; Levers'!$C$49</f>
        <v/>
      </c>
      <c r="E41" s="73">
        <f>(E34+E36+E37)*'Assumptions &amp; Levers'!$C$49</f>
        <v/>
      </c>
      <c r="F41" s="73">
        <f>(F34+F36+F37)*'Assumptions &amp; Levers'!$C$49</f>
        <v/>
      </c>
      <c r="G41" s="73">
        <f>(G34+G36+G37)*'Assumptions &amp; Levers'!$C$49</f>
        <v/>
      </c>
      <c r="H41" s="73">
        <f>(H34+H36+H37)*'Assumptions &amp; Levers'!$C$49</f>
        <v/>
      </c>
      <c r="I41" s="73">
        <f>(I34+I36+I37)*'Assumptions &amp; Levers'!$C$49</f>
        <v/>
      </c>
      <c r="J41" s="73">
        <f>(J34+J36+J37)*'Assumptions &amp; Levers'!$C$49</f>
        <v/>
      </c>
      <c r="K41" s="73">
        <f>(K34+K36+K37)*'Assumptions &amp; Levers'!$C$49</f>
        <v/>
      </c>
      <c r="L41" s="73">
        <f>(L34+L36+L37)*'Assumptions &amp; Levers'!$C$49</f>
        <v/>
      </c>
      <c r="M41" s="73">
        <f>(M34+M36+M37)*'Assumptions &amp; Levers'!$C$49</f>
        <v/>
      </c>
      <c r="N41" s="73">
        <f>SUM(D41:M41)</f>
        <v/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D35+D38</f>
        <v/>
      </c>
      <c r="E42" s="73">
        <f>E35+E38</f>
        <v/>
      </c>
      <c r="F42" s="73">
        <f>F35+F38</f>
        <v/>
      </c>
      <c r="G42" s="73">
        <f>G35+G38</f>
        <v/>
      </c>
      <c r="H42" s="73">
        <f>H35+H38</f>
        <v/>
      </c>
      <c r="I42" s="73">
        <f>I35+I38</f>
        <v/>
      </c>
      <c r="J42" s="73">
        <f>J35+J38</f>
        <v/>
      </c>
      <c r="K42" s="73">
        <f>K35+K38</f>
        <v/>
      </c>
      <c r="L42" s="73">
        <f>L35+L38</f>
        <v/>
      </c>
      <c r="M42" s="73">
        <f>M35+M38</f>
        <v/>
      </c>
      <c r="N42" s="73">
        <f>SUM(D42:M42)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>
        <f>D41</f>
        <v/>
      </c>
      <c r="F43" s="73">
        <f>D41+E41</f>
        <v/>
      </c>
      <c r="G43" s="73">
        <f>D41+E41+F41</f>
        <v/>
      </c>
      <c r="H43" s="73">
        <f>D41+E41+F41+G41</f>
        <v/>
      </c>
      <c r="I43" s="73">
        <f>E41+F41+G41+H41</f>
        <v/>
      </c>
      <c r="J43" s="73">
        <f>F41+G41+H41+I41</f>
        <v/>
      </c>
      <c r="K43" s="73">
        <f>G41+H41+I41+J41</f>
        <v/>
      </c>
      <c r="L43" s="73">
        <f>H41+I41+J41+K41</f>
        <v/>
      </c>
      <c r="M43" s="73">
        <f>I41+J41+K41+L41</f>
        <v/>
      </c>
      <c r="N43" s="73">
        <f>SUM(D43:M43)</f>
        <v/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>
        <f>(D41 * 4) * 'Assumptions &amp; Levers'!$C$52</f>
        <v/>
      </c>
      <c r="F44" s="73">
        <f>((D41+E41)*4 - E43) * 'Assumptions &amp; Levers'!$C$52</f>
        <v/>
      </c>
      <c r="G44" s="73">
        <f>((D41+E41+F41)*4 - (E43+F43)) * 'Assumptions &amp; Levers'!$C$52</f>
        <v/>
      </c>
      <c r="H44" s="73">
        <f>((D41+E41+F41+G41)*4 - (E43+F43+G43)) * 'Assumptions &amp; Levers'!$C$52</f>
        <v/>
      </c>
      <c r="I44" s="73">
        <f>((E41+F41+G41+H41)*4 - (F43+G43+H43)) * 'Assumptions &amp; Levers'!$C$52</f>
        <v/>
      </c>
      <c r="J44" s="73">
        <f>((F41+G41+H41+I41)*4 - (G43+H43+I43)) * 'Assumptions &amp; Levers'!$C$52</f>
        <v/>
      </c>
      <c r="K44" s="73">
        <f>((G41+H41+I41+J41)*4 - (H43+I43+J43)) * 'Assumptions &amp; Levers'!$C$52</f>
        <v/>
      </c>
      <c r="L44" s="73">
        <f>((H41+I41+J41+K41)*4 - (I43+J43+K43)) * 'Assumptions &amp; Levers'!$C$52</f>
        <v/>
      </c>
      <c r="M44" s="73">
        <f>((I41+J41+K41+L41)*4 - (J43+K43+L43)) * 'Assumptions &amp; Levers'!$C$52</f>
        <v/>
      </c>
      <c r="N44" s="73">
        <f>SUM(D44:M44)</f>
        <v/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D41+D42+D43+D44</f>
        <v/>
      </c>
      <c r="E45" s="74">
        <f>E41+E42+E43+E44</f>
        <v/>
      </c>
      <c r="F45" s="74">
        <f>F41+F42+F43+F44</f>
        <v/>
      </c>
      <c r="G45" s="74">
        <f>G41+G42+G43+G44</f>
        <v/>
      </c>
      <c r="H45" s="74">
        <f>H41+H42+H43+H44</f>
        <v/>
      </c>
      <c r="I45" s="74">
        <f>I41+I42+I43+I44</f>
        <v/>
      </c>
      <c r="J45" s="74">
        <f>J41+J42+J43+J44</f>
        <v/>
      </c>
      <c r="K45" s="74">
        <f>K41+K42+K43+K44</f>
        <v/>
      </c>
      <c r="L45" s="74">
        <f>L41+L42+L43+L44</f>
        <v/>
      </c>
      <c r="M45" s="74">
        <f>M41+M42+M43+M44</f>
        <v/>
      </c>
      <c r="N45" s="74">
        <f>N41+N42+N43+N44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IFERROR(MATCH(TRUE, INDEX(D57:M57&gt;0, 0), 0) - 1 + ABS(INDEX(D57:M57, MATCH(TRUE, INDEX(D57:M57&gt;0, 0), 0)-1)) / INDEX(D56:M56, MATCH(TRUE, INDEX(D57:M57&gt;0, 0), 0)), "Over 10 Years")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11: Audited Model 3 Combined Hybrid (59.9% Fiber / 40.1% Starlink, Deferred)</t>
        </is>
      </c>
    </row>
    <row r="2">
      <c r="A2" s="2" t="inlineStr">
        <is>
          <t>Footprint: 1,000 Sites Y1 scaling to 10k | Tower: Leased (TowerCo) | Backhaul: Hybrid_M3 | Payment Terms: Deferred (20/80 Vendor Credit)</t>
        </is>
      </c>
    </row>
    <row r="4">
      <c r="A4" s="56" t="inlineStr">
        <is>
          <t>Category</t>
        </is>
      </c>
      <c r="B4" s="56" t="inlineStr">
        <is>
          <t>Line Item</t>
        </is>
      </c>
      <c r="C4" s="56" t="inlineStr">
        <is>
          <t>Unit</t>
        </is>
      </c>
      <c r="D4" s="56" t="inlineStr">
        <is>
          <t>Year 1</t>
        </is>
      </c>
      <c r="E4" s="56" t="inlineStr">
        <is>
          <t>Year 2</t>
        </is>
      </c>
      <c r="F4" s="56" t="inlineStr">
        <is>
          <t>Year 3</t>
        </is>
      </c>
      <c r="G4" s="56" t="inlineStr">
        <is>
          <t>Year 4</t>
        </is>
      </c>
      <c r="H4" s="56" t="inlineStr">
        <is>
          <t>Year 5</t>
        </is>
      </c>
      <c r="I4" s="56" t="inlineStr">
        <is>
          <t>Year 6</t>
        </is>
      </c>
      <c r="J4" s="56" t="inlineStr">
        <is>
          <t>Year 7</t>
        </is>
      </c>
      <c r="K4" s="56" t="inlineStr">
        <is>
          <t>Year 8</t>
        </is>
      </c>
      <c r="L4" s="56" t="inlineStr">
        <is>
          <t>Year 9</t>
        </is>
      </c>
      <c r="M4" s="56" t="inlineStr">
        <is>
          <t>Year 10</t>
        </is>
      </c>
      <c r="N4" s="56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Tower Lease (incl DC &amp; Passive O&amp;M)</t>
        </is>
      </c>
      <c r="C19" s="46" t="inlineStr">
        <is>
          <t>USD</t>
        </is>
      </c>
      <c r="D19" s="73">
        <f>D5*'Assumptions &amp; Levers'!$C$31*12/'Assumptions &amp; Levers'!$C$5</f>
        <v/>
      </c>
      <c r="E19" s="73">
        <f>E5*'Assumptions &amp; Levers'!$C$31*12/'Assumptions &amp; Levers'!$C$5</f>
        <v/>
      </c>
      <c r="F19" s="73">
        <f>F5*'Assumptions &amp; Levers'!$C$31*12/'Assumptions &amp; Levers'!$C$5</f>
        <v/>
      </c>
      <c r="G19" s="73">
        <f>G5*'Assumptions &amp; Levers'!$C$31*12/'Assumptions &amp; Levers'!$C$5</f>
        <v/>
      </c>
      <c r="H19" s="73">
        <f>H5*'Assumptions &amp; Levers'!$C$31*12/'Assumptions &amp; Levers'!$C$5</f>
        <v/>
      </c>
      <c r="I19" s="73">
        <f>I5*'Assumptions &amp; Levers'!$C$31*12/'Assumptions &amp; Levers'!$C$5</f>
        <v/>
      </c>
      <c r="J19" s="73">
        <f>J5*'Assumptions &amp; Levers'!$C$31*12/'Assumptions &amp; Levers'!$C$5</f>
        <v/>
      </c>
      <c r="K19" s="73">
        <f>K5*'Assumptions &amp; Levers'!$C$31*12/'Assumptions &amp; Levers'!$C$5</f>
        <v/>
      </c>
      <c r="L19" s="73">
        <f>L5*'Assumptions &amp; Levers'!$C$31*12/'Assumptions &amp; Levers'!$C$5</f>
        <v/>
      </c>
      <c r="M19" s="73">
        <f>M5*'Assumptions &amp; Levers'!$C$31*12/'Assumptions &amp; Levers'!$C$5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 t="n">
        <v>0</v>
      </c>
      <c r="E20" s="73" t="n">
        <v>0</v>
      </c>
      <c r="F20" s="73" t="n">
        <v>0</v>
      </c>
      <c r="G20" s="73" t="n">
        <v>0</v>
      </c>
      <c r="H20" s="73" t="n">
        <v>0</v>
      </c>
      <c r="I20" s="73" t="n">
        <v>0</v>
      </c>
      <c r="J20" s="73" t="n">
        <v>0</v>
      </c>
      <c r="K20" s="73" t="n">
        <v>0</v>
      </c>
      <c r="L20" s="73" t="n">
        <v>0</v>
      </c>
      <c r="M20" s="73" t="n">
        <v>0</v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Audited Hybrid Transmission (59.9% Fiber / 40.1% Starlink)</t>
        </is>
      </c>
      <c r="C23" s="46" t="inlineStr">
        <is>
          <t>USD</t>
        </is>
      </c>
      <c r="D23" s="73">
        <f>D5 * (0.599*'Assumptions &amp; Levers'!$C$65 + 0.401*'Assumptions &amp; Levers'!$C$67)*12/'Assumptions &amp; Levers'!$C$5</f>
        <v/>
      </c>
      <c r="E23" s="73">
        <f>E5 * (0.599*'Assumptions &amp; Levers'!$C$65 + 0.401*'Assumptions &amp; Levers'!$C$67)*12/'Assumptions &amp; Levers'!$C$5</f>
        <v/>
      </c>
      <c r="F23" s="73">
        <f>F5 * (0.599*'Assumptions &amp; Levers'!$C$65 + 0.401*'Assumptions &amp; Levers'!$C$67)*12/'Assumptions &amp; Levers'!$C$5</f>
        <v/>
      </c>
      <c r="G23" s="73">
        <f>G5 * (0.599*'Assumptions &amp; Levers'!$C$65 + 0.401*'Assumptions &amp; Levers'!$C$67)*12/'Assumptions &amp; Levers'!$C$5</f>
        <v/>
      </c>
      <c r="H23" s="73">
        <f>H5 * (0.599*'Assumptions &amp; Levers'!$C$65 + 0.401*'Assumptions &amp; Levers'!$C$67)*12/'Assumptions &amp; Levers'!$C$5</f>
        <v/>
      </c>
      <c r="I23" s="73">
        <f>I5 * (0.599*'Assumptions &amp; Levers'!$C$65 + 0.401*'Assumptions &amp; Levers'!$C$67)*12/'Assumptions &amp; Levers'!$C$5</f>
        <v/>
      </c>
      <c r="J23" s="73">
        <f>J5 * (0.599*'Assumptions &amp; Levers'!$C$65 + 0.401*'Assumptions &amp; Levers'!$C$67)*12/'Assumptions &amp; Levers'!$C$5</f>
        <v/>
      </c>
      <c r="K23" s="73">
        <f>K5 * (0.599*'Assumptions &amp; Levers'!$C$65 + 0.401*'Assumptions &amp; Levers'!$C$67)*12/'Assumptions &amp; Levers'!$C$5</f>
        <v/>
      </c>
      <c r="L23" s="73">
        <f>L5 * (0.599*'Assumptions &amp; Levers'!$C$65 + 0.401*'Assumptions &amp; Levers'!$C$67)*12/'Assumptions &amp; Levers'!$C$5</f>
        <v/>
      </c>
      <c r="M23" s="73">
        <f>M5 * (0.599*'Assumptions &amp; Levers'!$C$65 + 0.401*'Assumptions &amp; Levers'!$C$67)*12/'Assumptions &amp; Levers'!$C$5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 t="n">
        <v>0</v>
      </c>
      <c r="E35" s="73" t="n">
        <v>0</v>
      </c>
      <c r="F35" s="73" t="n">
        <v>0</v>
      </c>
      <c r="G35" s="73" t="n">
        <v>0</v>
      </c>
      <c r="H35" s="73" t="n">
        <v>0</v>
      </c>
      <c r="I35" s="73" t="n">
        <v>0</v>
      </c>
      <c r="J35" s="73" t="n">
        <v>0</v>
      </c>
      <c r="K35" s="73" t="n">
        <v>0</v>
      </c>
      <c r="L35" s="73" t="n">
        <v>0</v>
      </c>
      <c r="M35" s="73" t="n">
        <v>0</v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>
        <f>D6 * (0.599*'Assumptions &amp; Levers'!$C$63 + 0.401*'Assumptions &amp; Levers'!$C$66)/'Assumptions &amp; Levers'!$C$5</f>
        <v/>
      </c>
      <c r="E36" s="73">
        <f>E6 * (0.599*'Assumptions &amp; Levers'!$C$63 + 0.401*'Assumptions &amp; Levers'!$C$66)/'Assumptions &amp; Levers'!$C$5</f>
        <v/>
      </c>
      <c r="F36" s="73">
        <f>F6 * (0.599*'Assumptions &amp; Levers'!$C$63 + 0.401*'Assumptions &amp; Levers'!$C$66)/'Assumptions &amp; Levers'!$C$5</f>
        <v/>
      </c>
      <c r="G36" s="73">
        <f>G6 * (0.599*'Assumptions &amp; Levers'!$C$63 + 0.401*'Assumptions &amp; Levers'!$C$66)/'Assumptions &amp; Levers'!$C$5</f>
        <v/>
      </c>
      <c r="H36" s="73">
        <f>H6 * (0.599*'Assumptions &amp; Levers'!$C$63 + 0.401*'Assumptions &amp; Levers'!$C$66)/'Assumptions &amp; Levers'!$C$5</f>
        <v/>
      </c>
      <c r="I36" s="73">
        <f>I6 * (0.599*'Assumptions &amp; Levers'!$C$63 + 0.401*'Assumptions &amp; Levers'!$C$66)/'Assumptions &amp; Levers'!$C$5</f>
        <v/>
      </c>
      <c r="J36" s="73">
        <f>J6 * (0.599*'Assumptions &amp; Levers'!$C$63 + 0.401*'Assumptions &amp; Levers'!$C$66)/'Assumptions &amp; Levers'!$C$5</f>
        <v/>
      </c>
      <c r="K36" s="73">
        <f>K6 * (0.599*'Assumptions &amp; Levers'!$C$63 + 0.401*'Assumptions &amp; Levers'!$C$66)/'Assumptions &amp; Levers'!$C$5</f>
        <v/>
      </c>
      <c r="L36" s="73">
        <f>L6 * (0.599*'Assumptions &amp; Levers'!$C$63 + 0.401*'Assumptions &amp; Levers'!$C$66)/'Assumptions &amp; Levers'!$C$5</f>
        <v/>
      </c>
      <c r="M36" s="73">
        <f>M6 * (0.599*'Assumptions &amp; Levers'!$C$63 + 0.401*'Assumptions &amp; Levers'!$C$66)/'Assumptions &amp; Levers'!$C$5</f>
        <v/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>
        <f>(D34+D36+D37)*'Assumptions &amp; Levers'!$C$49</f>
        <v/>
      </c>
      <c r="E41" s="73">
        <f>(E34+E36+E37)*'Assumptions &amp; Levers'!$C$49</f>
        <v/>
      </c>
      <c r="F41" s="73">
        <f>(F34+F36+F37)*'Assumptions &amp; Levers'!$C$49</f>
        <v/>
      </c>
      <c r="G41" s="73">
        <f>(G34+G36+G37)*'Assumptions &amp; Levers'!$C$49</f>
        <v/>
      </c>
      <c r="H41" s="73">
        <f>(H34+H36+H37)*'Assumptions &amp; Levers'!$C$49</f>
        <v/>
      </c>
      <c r="I41" s="73">
        <f>(I34+I36+I37)*'Assumptions &amp; Levers'!$C$49</f>
        <v/>
      </c>
      <c r="J41" s="73">
        <f>(J34+J36+J37)*'Assumptions &amp; Levers'!$C$49</f>
        <v/>
      </c>
      <c r="K41" s="73">
        <f>(K34+K36+K37)*'Assumptions &amp; Levers'!$C$49</f>
        <v/>
      </c>
      <c r="L41" s="73">
        <f>(L34+L36+L37)*'Assumptions &amp; Levers'!$C$49</f>
        <v/>
      </c>
      <c r="M41" s="73">
        <f>(M34+M36+M37)*'Assumptions &amp; Levers'!$C$49</f>
        <v/>
      </c>
      <c r="N41" s="73">
        <f>SUM(D41:M41)</f>
        <v/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D35+D38</f>
        <v/>
      </c>
      <c r="E42" s="73">
        <f>E35+E38</f>
        <v/>
      </c>
      <c r="F42" s="73">
        <f>F35+F38</f>
        <v/>
      </c>
      <c r="G42" s="73">
        <f>G35+G38</f>
        <v/>
      </c>
      <c r="H42" s="73">
        <f>H35+H38</f>
        <v/>
      </c>
      <c r="I42" s="73">
        <f>I35+I38</f>
        <v/>
      </c>
      <c r="J42" s="73">
        <f>J35+J38</f>
        <v/>
      </c>
      <c r="K42" s="73">
        <f>K35+K38</f>
        <v/>
      </c>
      <c r="L42" s="73">
        <f>L35+L38</f>
        <v/>
      </c>
      <c r="M42" s="73">
        <f>M35+M38</f>
        <v/>
      </c>
      <c r="N42" s="73">
        <f>SUM(D42:M42)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>
        <f>D41</f>
        <v/>
      </c>
      <c r="F43" s="73">
        <f>D41+E41</f>
        <v/>
      </c>
      <c r="G43" s="73">
        <f>D41+E41+F41</f>
        <v/>
      </c>
      <c r="H43" s="73">
        <f>D41+E41+F41+G41</f>
        <v/>
      </c>
      <c r="I43" s="73">
        <f>E41+F41+G41+H41</f>
        <v/>
      </c>
      <c r="J43" s="73">
        <f>F41+G41+H41+I41</f>
        <v/>
      </c>
      <c r="K43" s="73">
        <f>G41+H41+I41+J41</f>
        <v/>
      </c>
      <c r="L43" s="73">
        <f>H41+I41+J41+K41</f>
        <v/>
      </c>
      <c r="M43" s="73">
        <f>I41+J41+K41+L41</f>
        <v/>
      </c>
      <c r="N43" s="73">
        <f>SUM(D43:M43)</f>
        <v/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>
        <f>(D41 * 4) * 'Assumptions &amp; Levers'!$C$52</f>
        <v/>
      </c>
      <c r="F44" s="73">
        <f>((D41+E41)*4 - E43) * 'Assumptions &amp; Levers'!$C$52</f>
        <v/>
      </c>
      <c r="G44" s="73">
        <f>((D41+E41+F41)*4 - (E43+F43)) * 'Assumptions &amp; Levers'!$C$52</f>
        <v/>
      </c>
      <c r="H44" s="73">
        <f>((D41+E41+F41+G41)*4 - (E43+F43+G43)) * 'Assumptions &amp; Levers'!$C$52</f>
        <v/>
      </c>
      <c r="I44" s="73">
        <f>((E41+F41+G41+H41)*4 - (F43+G43+H43)) * 'Assumptions &amp; Levers'!$C$52</f>
        <v/>
      </c>
      <c r="J44" s="73">
        <f>((F41+G41+H41+I41)*4 - (G43+H43+I43)) * 'Assumptions &amp; Levers'!$C$52</f>
        <v/>
      </c>
      <c r="K44" s="73">
        <f>((G41+H41+I41+J41)*4 - (H43+I43+J43)) * 'Assumptions &amp; Levers'!$C$52</f>
        <v/>
      </c>
      <c r="L44" s="73">
        <f>((H41+I41+J41+K41)*4 - (I43+J43+K43)) * 'Assumptions &amp; Levers'!$C$52</f>
        <v/>
      </c>
      <c r="M44" s="73">
        <f>((I41+J41+K41+L41)*4 - (J43+K43+L43)) * 'Assumptions &amp; Levers'!$C$52</f>
        <v/>
      </c>
      <c r="N44" s="73">
        <f>SUM(D44:M44)</f>
        <v/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D41+D42+D43+D44</f>
        <v/>
      </c>
      <c r="E45" s="74">
        <f>E41+E42+E43+E44</f>
        <v/>
      </c>
      <c r="F45" s="74">
        <f>F41+F42+F43+F44</f>
        <v/>
      </c>
      <c r="G45" s="74">
        <f>G41+G42+G43+G44</f>
        <v/>
      </c>
      <c r="H45" s="74">
        <f>H41+H42+H43+H44</f>
        <v/>
      </c>
      <c r="I45" s="74">
        <f>I41+I42+I43+I44</f>
        <v/>
      </c>
      <c r="J45" s="74">
        <f>J41+J42+J43+J44</f>
        <v/>
      </c>
      <c r="K45" s="74">
        <f>K41+K42+K43+K44</f>
        <v/>
      </c>
      <c r="L45" s="74">
        <f>L41+L42+L43+L44</f>
        <v/>
      </c>
      <c r="M45" s="74">
        <f>M41+M42+M43+M44</f>
        <v/>
      </c>
      <c r="N45" s="74">
        <f>N41+N42+N43+N44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IFERROR(MATCH(TRUE, INDEX(D57:M57&gt;0, 0), 0) - 1 + ABS(INDEX(D57:M57, MATCH(TRUE, INDEX(D57:M57&gt;0, 0), 0)-1)) / INDEX(D56:M56, MATCH(TRUE, INDEX(D57:M57&gt;0, 0), 0)), "Over 10 Years")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6" customWidth="1" min="3" max="3"/>
    <col width="18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</cols>
  <sheetData>
    <row r="1">
      <c r="A1" s="1" t="inlineStr">
        <is>
          <t>FWA 5G n50 (80 MHz) — Master 11-Scenario Evaluation (Revision 2 Audited)</t>
        </is>
      </c>
    </row>
    <row r="2">
      <c r="A2" s="2" t="inlineStr">
        <is>
          <t>Full 10-Year Lifecycle Comparison across Classic Boundary Scenarios (S1-S8) and Audited Siting Hybrid Scenarios (S9-S11)</t>
        </is>
      </c>
    </row>
    <row r="4">
      <c r="A4" s="25" t="inlineStr">
        <is>
          <t>Scenario ID</t>
        </is>
      </c>
      <c r="B4" s="25" t="inlineStr">
        <is>
          <t>Tower Infrastructure</t>
        </is>
      </c>
      <c r="C4" s="25" t="inlineStr">
        <is>
          <t>Backhaul Technology</t>
        </is>
      </c>
      <c r="D4" s="25" t="inlineStr">
        <is>
          <t>Payment Terms</t>
        </is>
      </c>
      <c r="E4" s="25" t="inlineStr">
        <is>
          <t>10-Yr Total Revenue ($M)</t>
        </is>
      </c>
      <c r="F4" s="25" t="inlineStr">
        <is>
          <t>10-Yr Total OPEX ($M)</t>
        </is>
      </c>
      <c r="G4" s="25" t="inlineStr">
        <is>
          <t>10-Yr Total CAPEX ($M)</t>
        </is>
      </c>
      <c r="H4" s="25" t="inlineStr">
        <is>
          <t>10-Yr EBITDA ($M)</t>
        </is>
      </c>
      <c r="I4" s="25" t="inlineStr">
        <is>
          <t>EBITDA Margin (%)</t>
        </is>
      </c>
      <c r="J4" s="25" t="inlineStr">
        <is>
          <t>10-Yr Free Cash Flow ($M)</t>
        </is>
      </c>
      <c r="K4" s="25" t="inlineStr">
        <is>
          <t>Peak Funding Req. ($M)</t>
        </is>
      </c>
      <c r="L4" s="25" t="inlineStr">
        <is>
          <t>10-Yr NPV @ 12% ($M)</t>
        </is>
      </c>
      <c r="M4" s="25" t="inlineStr">
        <is>
          <t>10-Yr IRR (%)</t>
        </is>
      </c>
      <c r="N4" s="25" t="inlineStr">
        <is>
          <t>Simple Payback (Yrs)</t>
        </is>
      </c>
      <c r="O4" s="25" t="inlineStr">
        <is>
          <t>ROI (Cash / Peak)</t>
        </is>
      </c>
      <c r="P4" s="25" t="inlineStr">
        <is>
          <t>Go / No-Go Decision</t>
        </is>
      </c>
    </row>
    <row r="5">
      <c r="A5" s="46" t="inlineStr">
        <is>
          <t>S1</t>
        </is>
      </c>
      <c r="B5" s="5" t="inlineStr">
        <is>
          <t>Leased Towers</t>
        </is>
      </c>
      <c r="C5" s="5" t="inlineStr">
        <is>
          <t>FOC Backhaul (100% Leased)</t>
        </is>
      </c>
      <c r="D5" s="5" t="inlineStr">
        <is>
          <t>Non-Deferred</t>
        </is>
      </c>
      <c r="E5" s="62">
        <f>'S1_Leased_FOC_NonDef'!N16/1000000</f>
        <v/>
      </c>
      <c r="F5" s="62">
        <f>'S1_Leased_FOC_NonDef'!N29/1000000</f>
        <v/>
      </c>
      <c r="G5" s="62">
        <f>'S1_Leased_FOC_NonDef'!N39/1000000</f>
        <v/>
      </c>
      <c r="H5" s="62">
        <f>'S1_Leased_FOC_NonDef'!N31/1000000</f>
        <v/>
      </c>
      <c r="I5" s="15">
        <f>H5/E5</f>
        <v/>
      </c>
      <c r="J5" s="62">
        <f>'S1_Leased_FOC_NonDef'!N56/1000000</f>
        <v/>
      </c>
      <c r="K5" s="62">
        <f>'S1_Leased_FOC_NonDef'!D64/1000000</f>
        <v/>
      </c>
      <c r="L5" s="62">
        <f>'S1_Leased_FOC_NonDef'!D61/1000000</f>
        <v/>
      </c>
      <c r="M5" s="15">
        <f>IFERROR('S1_Leased_FOC_NonDef'!D62, "N/A (&lt; 0%)")</f>
        <v/>
      </c>
      <c r="N5" s="63">
        <f>'S1_Leased_FOC_NonDef'!D63</f>
        <v/>
      </c>
      <c r="O5" s="66">
        <f>IFERROR('S1_Leased_FOC_NonDef'!D67, 0)</f>
        <v/>
      </c>
      <c r="P5" s="17">
        <f>IF(AND(ISNUMBER(M5), M5&gt;=0.15, L5&gt;50, ISNUMBER(N5), N5&lt;=8.0), "GO", IF(AND(ISNUMBER(M5), M5&gt;='Assumptions &amp; Levers'!$C$6, L5&gt;0, ISNUMBER(N5), N5&lt;=10.0), "CONDITIONAL GO", "NO-GO"))</f>
        <v/>
      </c>
    </row>
    <row r="6">
      <c r="A6" s="46" t="inlineStr">
        <is>
          <t>S2</t>
        </is>
      </c>
      <c r="B6" s="5" t="inlineStr">
        <is>
          <t>Leased Towers</t>
        </is>
      </c>
      <c r="C6" s="5" t="inlineStr">
        <is>
          <t>FOC Backhaul (100% Leased)</t>
        </is>
      </c>
      <c r="D6" s="5" t="inlineStr">
        <is>
          <t>Deferred</t>
        </is>
      </c>
      <c r="E6" s="62">
        <f>'S2_Leased_FOC_Deferred'!N16/1000000</f>
        <v/>
      </c>
      <c r="F6" s="62">
        <f>'S2_Leased_FOC_Deferred'!N29/1000000</f>
        <v/>
      </c>
      <c r="G6" s="62">
        <f>'S2_Leased_FOC_Deferred'!N39/1000000</f>
        <v/>
      </c>
      <c r="H6" s="62">
        <f>'S2_Leased_FOC_Deferred'!N31/1000000</f>
        <v/>
      </c>
      <c r="I6" s="15">
        <f>H6/E6</f>
        <v/>
      </c>
      <c r="J6" s="62">
        <f>'S2_Leased_FOC_Deferred'!N56/1000000</f>
        <v/>
      </c>
      <c r="K6" s="62">
        <f>'S2_Leased_FOC_Deferred'!D64/1000000</f>
        <v/>
      </c>
      <c r="L6" s="62">
        <f>'S2_Leased_FOC_Deferred'!D61/1000000</f>
        <v/>
      </c>
      <c r="M6" s="15">
        <f>IFERROR('S2_Leased_FOC_Deferred'!D62, "N/A (&lt; 0%)")</f>
        <v/>
      </c>
      <c r="N6" s="63">
        <f>'S2_Leased_FOC_Deferred'!D63</f>
        <v/>
      </c>
      <c r="O6" s="66">
        <f>IFERROR('S2_Leased_FOC_Deferred'!D67, 0)</f>
        <v/>
      </c>
      <c r="P6" s="17">
        <f>IF(AND(ISNUMBER(M6), M6&gt;=0.15, L6&gt;50, ISNUMBER(N6), N6&lt;=8.0), "GO", IF(AND(ISNUMBER(M6), M6&gt;='Assumptions &amp; Levers'!$C$6, L6&gt;0, ISNUMBER(N6), N6&lt;=10.0), "CONDITIONAL GO", "NO-GO"))</f>
        <v/>
      </c>
    </row>
    <row r="7">
      <c r="A7" s="46" t="inlineStr">
        <is>
          <t>S3</t>
        </is>
      </c>
      <c r="B7" s="5" t="inlineStr">
        <is>
          <t>Leased Towers</t>
        </is>
      </c>
      <c r="C7" s="5" t="inlineStr">
        <is>
          <t>Starlink Backhaul (100% LEO)</t>
        </is>
      </c>
      <c r="D7" s="5" t="inlineStr">
        <is>
          <t>Non-Deferred</t>
        </is>
      </c>
      <c r="E7" s="62">
        <f>'S3_Leased_Star_NonDef'!N16/1000000</f>
        <v/>
      </c>
      <c r="F7" s="62">
        <f>'S3_Leased_Star_NonDef'!N29/1000000</f>
        <v/>
      </c>
      <c r="G7" s="62">
        <f>'S3_Leased_Star_NonDef'!N39/1000000</f>
        <v/>
      </c>
      <c r="H7" s="62">
        <f>'S3_Leased_Star_NonDef'!N31/1000000</f>
        <v/>
      </c>
      <c r="I7" s="15">
        <f>H7/E7</f>
        <v/>
      </c>
      <c r="J7" s="62">
        <f>'S3_Leased_Star_NonDef'!N56/1000000</f>
        <v/>
      </c>
      <c r="K7" s="62">
        <f>'S3_Leased_Star_NonDef'!D64/1000000</f>
        <v/>
      </c>
      <c r="L7" s="62">
        <f>'S3_Leased_Star_NonDef'!D61/1000000</f>
        <v/>
      </c>
      <c r="M7" s="15">
        <f>IFERROR('S3_Leased_Star_NonDef'!D62, "N/A (&lt; 0%)")</f>
        <v/>
      </c>
      <c r="N7" s="63">
        <f>'S3_Leased_Star_NonDef'!D63</f>
        <v/>
      </c>
      <c r="O7" s="66">
        <f>IFERROR('S3_Leased_Star_NonDef'!D67, 0)</f>
        <v/>
      </c>
      <c r="P7" s="18">
        <f>IF(AND(ISNUMBER(M7), M7&gt;=0.15, L7&gt;50, ISNUMBER(N7), N7&lt;=8.0), "GO", IF(AND(ISNUMBER(M7), M7&gt;='Assumptions &amp; Levers'!$C$6, L7&gt;0, ISNUMBER(N7), N7&lt;=10.0), "CONDITIONAL GO", "NO-GO"))</f>
        <v/>
      </c>
    </row>
    <row r="8">
      <c r="A8" s="46" t="inlineStr">
        <is>
          <t>S4</t>
        </is>
      </c>
      <c r="B8" s="5" t="inlineStr">
        <is>
          <t>Leased Towers</t>
        </is>
      </c>
      <c r="C8" s="5" t="inlineStr">
        <is>
          <t>Starlink Backhaul (100% LEO)</t>
        </is>
      </c>
      <c r="D8" s="5" t="inlineStr">
        <is>
          <t>Deferred</t>
        </is>
      </c>
      <c r="E8" s="62">
        <f>'S4_Leased_Star_Deferred'!N16/1000000</f>
        <v/>
      </c>
      <c r="F8" s="62">
        <f>'S4_Leased_Star_Deferred'!N29/1000000</f>
        <v/>
      </c>
      <c r="G8" s="62">
        <f>'S4_Leased_Star_Deferred'!N39/1000000</f>
        <v/>
      </c>
      <c r="H8" s="62">
        <f>'S4_Leased_Star_Deferred'!N31/1000000</f>
        <v/>
      </c>
      <c r="I8" s="15">
        <f>H8/E8</f>
        <v/>
      </c>
      <c r="J8" s="62">
        <f>'S4_Leased_Star_Deferred'!N56/1000000</f>
        <v/>
      </c>
      <c r="K8" s="62">
        <f>'S4_Leased_Star_Deferred'!D64/1000000</f>
        <v/>
      </c>
      <c r="L8" s="62">
        <f>'S4_Leased_Star_Deferred'!D61/1000000</f>
        <v/>
      </c>
      <c r="M8" s="15">
        <f>IFERROR('S4_Leased_Star_Deferred'!D62, "N/A (&lt; 0%)")</f>
        <v/>
      </c>
      <c r="N8" s="63">
        <f>'S4_Leased_Star_Deferred'!D63</f>
        <v/>
      </c>
      <c r="O8" s="66">
        <f>IFERROR('S4_Leased_Star_Deferred'!D67, 0)</f>
        <v/>
      </c>
      <c r="P8" s="18">
        <f>IF(AND(ISNUMBER(M8), M8&gt;=0.15, L8&gt;50, ISNUMBER(N8), N8&lt;=8.0), "GO", IF(AND(ISNUMBER(M8), M8&gt;='Assumptions &amp; Levers'!$C$6, L8&gt;0, ISNUMBER(N8), N8&lt;=10.0), "CONDITIONAL GO", "NO-GO"))</f>
        <v/>
      </c>
    </row>
    <row r="9">
      <c r="A9" s="46" t="inlineStr">
        <is>
          <t>S5</t>
        </is>
      </c>
      <c r="B9" s="5" t="inlineStr">
        <is>
          <t>Own Build (Monopoles)</t>
        </is>
      </c>
      <c r="C9" s="5" t="inlineStr">
        <is>
          <t>FOC Backhaul (100% Leased)</t>
        </is>
      </c>
      <c r="D9" s="5" t="inlineStr">
        <is>
          <t>Non-Deferred</t>
        </is>
      </c>
      <c r="E9" s="62">
        <f>'S5_Own_FOC_NonDef'!N16/1000000</f>
        <v/>
      </c>
      <c r="F9" s="62">
        <f>'S5_Own_FOC_NonDef'!N29/1000000</f>
        <v/>
      </c>
      <c r="G9" s="62">
        <f>'S5_Own_FOC_NonDef'!N39/1000000</f>
        <v/>
      </c>
      <c r="H9" s="62">
        <f>'S5_Own_FOC_NonDef'!N31/1000000</f>
        <v/>
      </c>
      <c r="I9" s="15">
        <f>H9/E9</f>
        <v/>
      </c>
      <c r="J9" s="62">
        <f>'S5_Own_FOC_NonDef'!N56/1000000</f>
        <v/>
      </c>
      <c r="K9" s="62">
        <f>'S5_Own_FOC_NonDef'!D64/1000000</f>
        <v/>
      </c>
      <c r="L9" s="62">
        <f>'S5_Own_FOC_NonDef'!D61/1000000</f>
        <v/>
      </c>
      <c r="M9" s="15">
        <f>IFERROR('S5_Own_FOC_NonDef'!D62, "N/A (&lt; 0%)")</f>
        <v/>
      </c>
      <c r="N9" s="63">
        <f>'S5_Own_FOC_NonDef'!D63</f>
        <v/>
      </c>
      <c r="O9" s="66">
        <f>IFERROR('S5_Own_FOC_NonDef'!D67, 0)</f>
        <v/>
      </c>
      <c r="P9" s="17">
        <f>IF(AND(ISNUMBER(M9), M9&gt;=0.15, L9&gt;50, ISNUMBER(N9), N9&lt;=8.0), "GO", IF(AND(ISNUMBER(M9), M9&gt;='Assumptions &amp; Levers'!$C$6, L9&gt;0, ISNUMBER(N9), N9&lt;=10.0), "CONDITIONAL GO", "NO-GO"))</f>
        <v/>
      </c>
    </row>
    <row r="10">
      <c r="A10" s="46" t="inlineStr">
        <is>
          <t>S6</t>
        </is>
      </c>
      <c r="B10" s="5" t="inlineStr">
        <is>
          <t>Own Build (Monopoles)</t>
        </is>
      </c>
      <c r="C10" s="5" t="inlineStr">
        <is>
          <t>FOC Backhaul (100% Leased)</t>
        </is>
      </c>
      <c r="D10" s="5" t="inlineStr">
        <is>
          <t>Deferred</t>
        </is>
      </c>
      <c r="E10" s="62">
        <f>'S6_Own_FOC_Deferred'!N16/1000000</f>
        <v/>
      </c>
      <c r="F10" s="62">
        <f>'S6_Own_FOC_Deferred'!N29/1000000</f>
        <v/>
      </c>
      <c r="G10" s="62">
        <f>'S6_Own_FOC_Deferred'!N39/1000000</f>
        <v/>
      </c>
      <c r="H10" s="62">
        <f>'S6_Own_FOC_Deferred'!N31/1000000</f>
        <v/>
      </c>
      <c r="I10" s="15">
        <f>H10/E10</f>
        <v/>
      </c>
      <c r="J10" s="62">
        <f>'S6_Own_FOC_Deferred'!N56/1000000</f>
        <v/>
      </c>
      <c r="K10" s="62">
        <f>'S6_Own_FOC_Deferred'!D64/1000000</f>
        <v/>
      </c>
      <c r="L10" s="62">
        <f>'S6_Own_FOC_Deferred'!D61/1000000</f>
        <v/>
      </c>
      <c r="M10" s="15">
        <f>IFERROR('S6_Own_FOC_Deferred'!D62, "N/A (&lt; 0%)")</f>
        <v/>
      </c>
      <c r="N10" s="63">
        <f>'S6_Own_FOC_Deferred'!D63</f>
        <v/>
      </c>
      <c r="O10" s="66">
        <f>IFERROR('S6_Own_FOC_Deferred'!D67, 0)</f>
        <v/>
      </c>
      <c r="P10" s="17">
        <f>IF(AND(ISNUMBER(M10), M10&gt;=0.15, L10&gt;50, ISNUMBER(N10), N10&lt;=8.0), "GO", IF(AND(ISNUMBER(M10), M10&gt;='Assumptions &amp; Levers'!$C$6, L10&gt;0, ISNUMBER(N10), N10&lt;=10.0), "CONDITIONAL GO", "NO-GO"))</f>
        <v/>
      </c>
    </row>
    <row r="11">
      <c r="A11" s="46" t="inlineStr">
        <is>
          <t>S7</t>
        </is>
      </c>
      <c r="B11" s="5" t="inlineStr">
        <is>
          <t>Own Build (Monopoles)</t>
        </is>
      </c>
      <c r="C11" s="5" t="inlineStr">
        <is>
          <t>Starlink Backhaul (100% LEO)</t>
        </is>
      </c>
      <c r="D11" s="5" t="inlineStr">
        <is>
          <t>Non-Deferred</t>
        </is>
      </c>
      <c r="E11" s="62">
        <f>'S7_Own_Star_NonDef'!N16/1000000</f>
        <v/>
      </c>
      <c r="F11" s="62">
        <f>'S7_Own_Star_NonDef'!N29/1000000</f>
        <v/>
      </c>
      <c r="G11" s="62">
        <f>'S7_Own_Star_NonDef'!N39/1000000</f>
        <v/>
      </c>
      <c r="H11" s="62">
        <f>'S7_Own_Star_NonDef'!N31/1000000</f>
        <v/>
      </c>
      <c r="I11" s="15">
        <f>H11/E11</f>
        <v/>
      </c>
      <c r="J11" s="62">
        <f>'S7_Own_Star_NonDef'!N56/1000000</f>
        <v/>
      </c>
      <c r="K11" s="62">
        <f>'S7_Own_Star_NonDef'!D64/1000000</f>
        <v/>
      </c>
      <c r="L11" s="62">
        <f>'S7_Own_Star_NonDef'!D61/1000000</f>
        <v/>
      </c>
      <c r="M11" s="15">
        <f>IFERROR('S7_Own_Star_NonDef'!D62, "N/A (&lt; 0%)")</f>
        <v/>
      </c>
      <c r="N11" s="63">
        <f>'S7_Own_Star_NonDef'!D63</f>
        <v/>
      </c>
      <c r="O11" s="66">
        <f>IFERROR('S7_Own_Star_NonDef'!D67, 0)</f>
        <v/>
      </c>
      <c r="P11" s="17">
        <f>IF(AND(ISNUMBER(M11), M11&gt;=0.15, L11&gt;50, ISNUMBER(N11), N11&lt;=8.0), "GO", IF(AND(ISNUMBER(M11), M11&gt;='Assumptions &amp; Levers'!$C$6, L11&gt;0, ISNUMBER(N11), N11&lt;=10.0), "CONDITIONAL GO", "NO-GO"))</f>
        <v/>
      </c>
    </row>
    <row r="12">
      <c r="A12" s="46" t="inlineStr">
        <is>
          <t>S8</t>
        </is>
      </c>
      <c r="B12" s="5" t="inlineStr">
        <is>
          <t>Own Build (Monopoles)</t>
        </is>
      </c>
      <c r="C12" s="5" t="inlineStr">
        <is>
          <t>Starlink Backhaul (100% LEO)</t>
        </is>
      </c>
      <c r="D12" s="5" t="inlineStr">
        <is>
          <t>Deferred</t>
        </is>
      </c>
      <c r="E12" s="62">
        <f>'S8_Own_Star_Deferred'!N16/1000000</f>
        <v/>
      </c>
      <c r="F12" s="62">
        <f>'S8_Own_Star_Deferred'!N29/1000000</f>
        <v/>
      </c>
      <c r="G12" s="62">
        <f>'S8_Own_Star_Deferred'!N39/1000000</f>
        <v/>
      </c>
      <c r="H12" s="62">
        <f>'S8_Own_Star_Deferred'!N31/1000000</f>
        <v/>
      </c>
      <c r="I12" s="15">
        <f>H12/E12</f>
        <v/>
      </c>
      <c r="J12" s="62">
        <f>'S8_Own_Star_Deferred'!N56/1000000</f>
        <v/>
      </c>
      <c r="K12" s="62">
        <f>'S8_Own_Star_Deferred'!D64/1000000</f>
        <v/>
      </c>
      <c r="L12" s="62">
        <f>'S8_Own_Star_Deferred'!D61/1000000</f>
        <v/>
      </c>
      <c r="M12" s="15">
        <f>IFERROR('S8_Own_Star_Deferred'!D62, "N/A (&lt; 0%)")</f>
        <v/>
      </c>
      <c r="N12" s="63">
        <f>'S8_Own_Star_Deferred'!D63</f>
        <v/>
      </c>
      <c r="O12" s="66">
        <f>IFERROR('S8_Own_Star_Deferred'!D67, 0)</f>
        <v/>
      </c>
      <c r="P12" s="17">
        <f>IF(AND(ISNUMBER(M12), M12&gt;=0.15, L12&gt;50, ISNUMBER(N12), N12&lt;=8.0), "GO", IF(AND(ISNUMBER(M12), M12&gt;='Assumptions &amp; Levers'!$C$6, L12&gt;0, ISNUMBER(N12), N12&lt;=10.0), "CONDITIONAL GO", "NO-GO"))</f>
        <v/>
      </c>
    </row>
    <row r="13">
      <c r="A13" s="57" t="inlineStr">
        <is>
          <t>S9</t>
        </is>
      </c>
      <c r="B13" s="21" t="inlineStr">
        <is>
          <t>Leased Towers</t>
        </is>
      </c>
      <c r="C13" s="21" t="inlineStr">
        <is>
          <t>Audited Model 1 Commercial (98% Fiber)</t>
        </is>
      </c>
      <c r="D13" s="21" t="inlineStr">
        <is>
          <t>Deferred</t>
        </is>
      </c>
      <c r="E13" s="64">
        <f>'S9_M1_Commercial_Hybrid'!N16/1000000</f>
        <v/>
      </c>
      <c r="F13" s="64">
        <f>'S9_M1_Commercial_Hybrid'!N29/1000000</f>
        <v/>
      </c>
      <c r="G13" s="64">
        <f>'S9_M1_Commercial_Hybrid'!N39/1000000</f>
        <v/>
      </c>
      <c r="H13" s="64">
        <f>'S9_M1_Commercial_Hybrid'!N31/1000000</f>
        <v/>
      </c>
      <c r="I13" s="23">
        <f>H13/E13</f>
        <v/>
      </c>
      <c r="J13" s="64">
        <f>'S9_M1_Commercial_Hybrid'!N56/1000000</f>
        <v/>
      </c>
      <c r="K13" s="64">
        <f>'S9_M1_Commercial_Hybrid'!D64/1000000</f>
        <v/>
      </c>
      <c r="L13" s="64">
        <f>'S9_M1_Commercial_Hybrid'!D61/1000000</f>
        <v/>
      </c>
      <c r="M13" s="23">
        <f>IFERROR('S9_M1_Commercial_Hybrid'!D62, "N/A (&lt; 0%)")</f>
        <v/>
      </c>
      <c r="N13" s="65">
        <f>'S9_M1_Commercial_Hybrid'!D63</f>
        <v/>
      </c>
      <c r="O13" s="67">
        <f>IFERROR('S9_M1_Commercial_Hybrid'!D67, 0)</f>
        <v/>
      </c>
      <c r="P13" s="18">
        <f>IF(AND(ISNUMBER(M13), M13&gt;=0.15, L13&gt;50, ISNUMBER(N13), N13&lt;=8.0), "GO", IF(AND(ISNUMBER(M13), M13&gt;='Assumptions &amp; Levers'!$C$6, L13&gt;0, ISNUMBER(N13), N13&lt;=10.0), "CONDITIONAL GO", "NO-GO"))</f>
        <v/>
      </c>
    </row>
    <row r="14">
      <c r="A14" s="57" t="inlineStr">
        <is>
          <t>S10</t>
        </is>
      </c>
      <c r="B14" s="21" t="inlineStr">
        <is>
          <t>Leased Towers</t>
        </is>
      </c>
      <c r="C14" s="21" t="inlineStr">
        <is>
          <t>Audited Model 2 GIDA (66% Starlink)</t>
        </is>
      </c>
      <c r="D14" s="21" t="inlineStr">
        <is>
          <t>Deferred</t>
        </is>
      </c>
      <c r="E14" s="64">
        <f>'S10_M2_GIDA_Hybrid'!N16/1000000</f>
        <v/>
      </c>
      <c r="F14" s="64">
        <f>'S10_M2_GIDA_Hybrid'!N29/1000000</f>
        <v/>
      </c>
      <c r="G14" s="64">
        <f>'S10_M2_GIDA_Hybrid'!N39/1000000</f>
        <v/>
      </c>
      <c r="H14" s="64">
        <f>'S10_M2_GIDA_Hybrid'!N31/1000000</f>
        <v/>
      </c>
      <c r="I14" s="23">
        <f>H14/E14</f>
        <v/>
      </c>
      <c r="J14" s="64">
        <f>'S10_M2_GIDA_Hybrid'!N56/1000000</f>
        <v/>
      </c>
      <c r="K14" s="64">
        <f>'S10_M2_GIDA_Hybrid'!D64/1000000</f>
        <v/>
      </c>
      <c r="L14" s="64">
        <f>'S10_M2_GIDA_Hybrid'!D61/1000000</f>
        <v/>
      </c>
      <c r="M14" s="23">
        <f>IFERROR('S10_M2_GIDA_Hybrid'!D62, "N/A (&lt; 0%)")</f>
        <v/>
      </c>
      <c r="N14" s="65">
        <f>'S10_M2_GIDA_Hybrid'!D63</f>
        <v/>
      </c>
      <c r="O14" s="67">
        <f>IFERROR('S10_M2_GIDA_Hybrid'!D67, 0)</f>
        <v/>
      </c>
      <c r="P14" s="18">
        <f>IF(AND(ISNUMBER(M14), M14&gt;=0.15, L14&gt;50, ISNUMBER(N14), N14&lt;=8.0), "GO", IF(AND(ISNUMBER(M14), M14&gt;='Assumptions &amp; Levers'!$C$6, L14&gt;0, ISNUMBER(N14), N14&lt;=10.0), "CONDITIONAL GO", "NO-GO"))</f>
        <v/>
      </c>
    </row>
    <row r="15">
      <c r="A15" s="57" t="inlineStr">
        <is>
          <t>S11</t>
        </is>
      </c>
      <c r="B15" s="21" t="inlineStr">
        <is>
          <t>Leased Towers</t>
        </is>
      </c>
      <c r="C15" s="21" t="inlineStr">
        <is>
          <t>Audited Model 3 Combined (60% Fiber)</t>
        </is>
      </c>
      <c r="D15" s="21" t="inlineStr">
        <is>
          <t>Deferred</t>
        </is>
      </c>
      <c r="E15" s="64">
        <f>'S11_M3_Combined_Hybrid'!N16/1000000</f>
        <v/>
      </c>
      <c r="F15" s="64">
        <f>'S11_M3_Combined_Hybrid'!N29/1000000</f>
        <v/>
      </c>
      <c r="G15" s="64">
        <f>'S11_M3_Combined_Hybrid'!N39/1000000</f>
        <v/>
      </c>
      <c r="H15" s="64">
        <f>'S11_M3_Combined_Hybrid'!N31/1000000</f>
        <v/>
      </c>
      <c r="I15" s="23">
        <f>H15/E15</f>
        <v/>
      </c>
      <c r="J15" s="64">
        <f>'S11_M3_Combined_Hybrid'!N56/1000000</f>
        <v/>
      </c>
      <c r="K15" s="64">
        <f>'S11_M3_Combined_Hybrid'!D64/1000000</f>
        <v/>
      </c>
      <c r="L15" s="64">
        <f>'S11_M3_Combined_Hybrid'!D61/1000000</f>
        <v/>
      </c>
      <c r="M15" s="23">
        <f>IFERROR('S11_M3_Combined_Hybrid'!D62, "N/A (&lt; 0%)")</f>
        <v/>
      </c>
      <c r="N15" s="65">
        <f>'S11_M3_Combined_Hybrid'!D63</f>
        <v/>
      </c>
      <c r="O15" s="67">
        <f>IFERROR('S11_M3_Combined_Hybrid'!D67, 0)</f>
        <v/>
      </c>
      <c r="P15" s="18">
        <f>IF(AND(ISNUMBER(M15), M15&gt;=0.15, L15&gt;50, ISNUMBER(N15), N15&lt;=8.0), "GO", IF(AND(ISNUMBER(M15), M15&gt;='Assumptions &amp; Levers'!$C$6, L15&gt;0, ISNUMBER(N15), N15&lt;=10.0), "CONDITIONAL GO", "NO-GO"))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FWA 5G n50 — Single Subscriber Rate (ARPU) &amp; Breakeven Analysis (1,000 Sites in Y1)</t>
        </is>
      </c>
    </row>
    <row r="2">
      <c r="A2" t="inlineStr">
        <is>
          <t>Determining the single subscriber rate that makes economic sense when all 1,000 sites are carrying operational costs from Year 1.</t>
        </is>
      </c>
    </row>
    <row r="4">
      <c r="A4" t="inlineStr">
        <is>
          <t>1. THEORETICAL BREAKEVEN ARPU THRESHOLDS (PHP / Subscriber / Month @ Full 1,000,000 Subs)</t>
        </is>
      </c>
    </row>
    <row r="5">
      <c r="A5" t="inlineStr">
        <is>
          <t>Scenario ID</t>
        </is>
      </c>
      <c r="B5" t="inlineStr">
        <is>
          <t>Infrastructure Scenario</t>
        </is>
      </c>
      <c r="C5" t="inlineStr">
        <is>
          <t>Cash OPEX Breakeven (PHP)</t>
        </is>
      </c>
      <c r="D5" t="inlineStr">
        <is>
          <t>Fully Loaded Breakeven (OPEX+Depr) (PHP)</t>
        </is>
      </c>
      <c r="E5" t="inlineStr">
        <is>
          <t>12% WACC Hurdle ARPU (PHP)</t>
        </is>
      </c>
      <c r="F5" t="inlineStr">
        <is>
          <t>Target 20% IRR ARPU (PHP)</t>
        </is>
      </c>
      <c r="G5" t="inlineStr">
        <is>
          <t>Viability vs Market Pricing (₱599)</t>
        </is>
      </c>
      <c r="H5" t="inlineStr">
        <is>
          <t>Simple Payback Period (Yrs)</t>
        </is>
      </c>
    </row>
    <row r="6">
      <c r="A6" t="inlineStr">
        <is>
          <t>S1</t>
        </is>
      </c>
      <c r="B6" t="inlineStr">
        <is>
          <t>Leased Towers + FOC (Non-Deferred)</t>
        </is>
      </c>
      <c r="C6" s="78">
        <f>S1_Leased_FOC_NonDef!H29/S1_Leased_FOC_NonDef!H7/12*'Assumptions &amp; Levers'!$C$5</f>
        <v/>
      </c>
      <c r="D6" s="78">
        <f>(S1_Leased_FOC_NonDef!H29+S1_Leased_FOC_NonDef!H50)/S1_Leased_FOC_NonDef!H7/12*'Assumptions &amp; Levers'!$C$5</f>
        <v/>
      </c>
      <c r="E6" s="78">
        <f>D6 + (S1_Leased_FOC_NonDef!N39*0.12/10/S1_Leased_FOC_NonDef!H7/12*'Assumptions &amp; Levers'!$C$5)</f>
        <v/>
      </c>
      <c r="F6" s="78">
        <f>D6 + (S1_Leased_FOC_NonDef!N39*0.2/10/S1_Leased_FOC_NonDef!H7/12*'Assumptions &amp; Levers'!$C$5)</f>
        <v/>
      </c>
      <c r="G6">
        <f>IF(E6&lt;=599, "HIGHLY VIABLE (@ ₱599)", IF(E6&lt;=699, "VIABLE (@ ₱699)", "CHALLENGING (&gt; ₱700)"))</f>
        <v/>
      </c>
      <c r="H6">
        <f>S1_Leased_FOC_NonDef!D63</f>
        <v/>
      </c>
    </row>
    <row r="7">
      <c r="A7" t="inlineStr">
        <is>
          <t>S2</t>
        </is>
      </c>
      <c r="B7" t="inlineStr">
        <is>
          <t>Leased Towers + FOC (Deferred)</t>
        </is>
      </c>
      <c r="C7" s="78">
        <f>S2_Leased_FOC_Deferred!H29/S2_Leased_FOC_Deferred!H7/12*'Assumptions &amp; Levers'!$C$5</f>
        <v/>
      </c>
      <c r="D7" s="78">
        <f>(S2_Leased_FOC_Deferred!H29+S2_Leased_FOC_Deferred!H50)/S2_Leased_FOC_Deferred!H7/12*'Assumptions &amp; Levers'!$C$5</f>
        <v/>
      </c>
      <c r="E7" s="78">
        <f>D7 + (S2_Leased_FOC_Deferred!N39*0.12/10/S2_Leased_FOC_Deferred!H7/12*'Assumptions &amp; Levers'!$C$5)</f>
        <v/>
      </c>
      <c r="F7" s="78">
        <f>D7 + (S2_Leased_FOC_Deferred!N39*0.2/10/S2_Leased_FOC_Deferred!H7/12*'Assumptions &amp; Levers'!$C$5)</f>
        <v/>
      </c>
      <c r="G7">
        <f>IF(E7&lt;=599, "HIGHLY VIABLE (@ ₱599)", IF(E7&lt;=699, "VIABLE (@ ₱699)", "CHALLENGING (&gt; ₱700)"))</f>
        <v/>
      </c>
      <c r="H7">
        <f>S2_Leased_FOC_Deferred!D63</f>
        <v/>
      </c>
    </row>
    <row r="8">
      <c r="A8" t="inlineStr">
        <is>
          <t>S3</t>
        </is>
      </c>
      <c r="B8" t="inlineStr">
        <is>
          <t>Leased Towers + Starlink (Non-Deferred)</t>
        </is>
      </c>
      <c r="C8" s="78">
        <f>S3_Leased_Star_NonDef!H29/S3_Leased_Star_NonDef!H7/12*'Assumptions &amp; Levers'!$C$5</f>
        <v/>
      </c>
      <c r="D8" s="78">
        <f>(S3_Leased_Star_NonDef!H29+S3_Leased_Star_NonDef!H50)/S3_Leased_Star_NonDef!H7/12*'Assumptions &amp; Levers'!$C$5</f>
        <v/>
      </c>
      <c r="E8" s="78">
        <f>D8 + (S3_Leased_Star_NonDef!N39*0.12/10/S3_Leased_Star_NonDef!H7/12*'Assumptions &amp; Levers'!$C$5)</f>
        <v/>
      </c>
      <c r="F8" s="78">
        <f>D8 + (S3_Leased_Star_NonDef!N39*0.2/10/S3_Leased_Star_NonDef!H7/12*'Assumptions &amp; Levers'!$C$5)</f>
        <v/>
      </c>
      <c r="G8">
        <f>IF(E8&lt;=599, "HIGHLY VIABLE (@ ₱599)", IF(E8&lt;=699, "VIABLE (@ ₱699)", "CHALLENGING (&gt; ₱700)"))</f>
        <v/>
      </c>
      <c r="H8">
        <f>S3_Leased_Star_NonDef!D63</f>
        <v/>
      </c>
    </row>
    <row r="9">
      <c r="A9" t="inlineStr">
        <is>
          <t>S4</t>
        </is>
      </c>
      <c r="B9" t="inlineStr">
        <is>
          <t>Leased Towers + Starlink (Deferred)</t>
        </is>
      </c>
      <c r="C9" s="78">
        <f>S4_Leased_Star_Deferred!H29/S4_Leased_Star_Deferred!H7/12*'Assumptions &amp; Levers'!$C$5</f>
        <v/>
      </c>
      <c r="D9" s="78">
        <f>(S4_Leased_Star_Deferred!H29+S4_Leased_Star_Deferred!H50)/S4_Leased_Star_Deferred!H7/12*'Assumptions &amp; Levers'!$C$5</f>
        <v/>
      </c>
      <c r="E9" s="78">
        <f>D9 + (S4_Leased_Star_Deferred!N39*0.12/10/S4_Leased_Star_Deferred!H7/12*'Assumptions &amp; Levers'!$C$5)</f>
        <v/>
      </c>
      <c r="F9" s="78">
        <f>D9 + (S4_Leased_Star_Deferred!N39*0.2/10/S4_Leased_Star_Deferred!H7/12*'Assumptions &amp; Levers'!$C$5)</f>
        <v/>
      </c>
      <c r="G9">
        <f>IF(E9&lt;=599, "HIGHLY VIABLE (@ ₱599)", IF(E9&lt;=699, "VIABLE (@ ₱699)", "CHALLENGING (&gt; ₱700)"))</f>
        <v/>
      </c>
      <c r="H9">
        <f>S4_Leased_Star_Deferred!D63</f>
        <v/>
      </c>
    </row>
    <row r="10">
      <c r="A10" t="inlineStr">
        <is>
          <t>S5</t>
        </is>
      </c>
      <c r="B10" t="inlineStr">
        <is>
          <t>Own Build + FOC (Non-Deferred)</t>
        </is>
      </c>
      <c r="C10" s="78">
        <f>S5_Own_FOC_NonDef!H29/S5_Own_FOC_NonDef!H7/12*'Assumptions &amp; Levers'!$C$5</f>
        <v/>
      </c>
      <c r="D10" s="78">
        <f>(S5_Own_FOC_NonDef!H29+S5_Own_FOC_NonDef!H50)/S5_Own_FOC_NonDef!H7/12*'Assumptions &amp; Levers'!$C$5</f>
        <v/>
      </c>
      <c r="E10" s="78">
        <f>D10 + (S5_Own_FOC_NonDef!N39*0.12/10/S5_Own_FOC_NonDef!H7/12*'Assumptions &amp; Levers'!$C$5)</f>
        <v/>
      </c>
      <c r="F10" s="78">
        <f>D10 + (S5_Own_FOC_NonDef!N39*0.2/10/S5_Own_FOC_NonDef!H7/12*'Assumptions &amp; Levers'!$C$5)</f>
        <v/>
      </c>
      <c r="G10">
        <f>IF(E10&lt;=599, "HIGHLY VIABLE (@ ₱599)", IF(E10&lt;=699, "VIABLE (@ ₱699)", "CHALLENGING (&gt; ₱700)"))</f>
        <v/>
      </c>
      <c r="H10">
        <f>S5_Own_FOC_NonDef!D63</f>
        <v/>
      </c>
    </row>
    <row r="11">
      <c r="A11" t="inlineStr">
        <is>
          <t>S6</t>
        </is>
      </c>
      <c r="B11" t="inlineStr">
        <is>
          <t>Own Build + FOC (Deferred)</t>
        </is>
      </c>
      <c r="C11" s="78">
        <f>S6_Own_FOC_Deferred!H29/S6_Own_FOC_Deferred!H7/12*'Assumptions &amp; Levers'!$C$5</f>
        <v/>
      </c>
      <c r="D11" s="78">
        <f>(S6_Own_FOC_Deferred!H29+S6_Own_FOC_Deferred!H50)/S6_Own_FOC_Deferred!H7/12*'Assumptions &amp; Levers'!$C$5</f>
        <v/>
      </c>
      <c r="E11" s="78">
        <f>D11 + (S6_Own_FOC_Deferred!N39*0.12/10/S6_Own_FOC_Deferred!H7/12*'Assumptions &amp; Levers'!$C$5)</f>
        <v/>
      </c>
      <c r="F11" s="78">
        <f>D11 + (S6_Own_FOC_Deferred!N39*0.2/10/S6_Own_FOC_Deferred!H7/12*'Assumptions &amp; Levers'!$C$5)</f>
        <v/>
      </c>
      <c r="G11">
        <f>IF(E11&lt;=599, "HIGHLY VIABLE (@ ₱599)", IF(E11&lt;=699, "VIABLE (@ ₱699)", "CHALLENGING (&gt; ₱700)"))</f>
        <v/>
      </c>
      <c r="H11">
        <f>S6_Own_FOC_Deferred!D63</f>
        <v/>
      </c>
    </row>
    <row r="12">
      <c r="A12" t="inlineStr">
        <is>
          <t>S7</t>
        </is>
      </c>
      <c r="B12" t="inlineStr">
        <is>
          <t>Own Build + Starlink (Non-Deferred)</t>
        </is>
      </c>
      <c r="C12" s="78">
        <f>S7_Own_Star_NonDef!H29/S7_Own_Star_NonDef!H7/12*'Assumptions &amp; Levers'!$C$5</f>
        <v/>
      </c>
      <c r="D12" s="78">
        <f>(S7_Own_Star_NonDef!H29+S7_Own_Star_NonDef!H50)/S7_Own_Star_NonDef!H7/12*'Assumptions &amp; Levers'!$C$5</f>
        <v/>
      </c>
      <c r="E12" s="78">
        <f>D12 + (S7_Own_Star_NonDef!N39*0.12/10/S7_Own_Star_NonDef!H7/12*'Assumptions &amp; Levers'!$C$5)</f>
        <v/>
      </c>
      <c r="F12" s="78">
        <f>D12 + (S7_Own_Star_NonDef!N39*0.2/10/S7_Own_Star_NonDef!H7/12*'Assumptions &amp; Levers'!$C$5)</f>
        <v/>
      </c>
      <c r="G12">
        <f>IF(E12&lt;=599, "HIGHLY VIABLE (@ ₱599)", IF(E12&lt;=699, "VIABLE (@ ₱699)", "CHALLENGING (&gt; ₱700)"))</f>
        <v/>
      </c>
      <c r="H12">
        <f>S7_Own_Star_NonDef!D63</f>
        <v/>
      </c>
    </row>
    <row r="13">
      <c r="A13" t="inlineStr">
        <is>
          <t>S8</t>
        </is>
      </c>
      <c r="B13" t="inlineStr">
        <is>
          <t>Own Build + Starlink (Deferred)</t>
        </is>
      </c>
      <c r="C13" s="78">
        <f>S8_Own_Star_Deferred!H29/S8_Own_Star_Deferred!H7/12*'Assumptions &amp; Levers'!$C$5</f>
        <v/>
      </c>
      <c r="D13" s="78">
        <f>(S8_Own_Star_Deferred!H29+S8_Own_Star_Deferred!H50)/S8_Own_Star_Deferred!H7/12*'Assumptions &amp; Levers'!$C$5</f>
        <v/>
      </c>
      <c r="E13" s="78">
        <f>D13 + (S8_Own_Star_Deferred!N39*0.12/10/S8_Own_Star_Deferred!H7/12*'Assumptions &amp; Levers'!$C$5)</f>
        <v/>
      </c>
      <c r="F13" s="78">
        <f>D13 + (S8_Own_Star_Deferred!N39*0.2/10/S8_Own_Star_Deferred!H7/12*'Assumptions &amp; Levers'!$C$5)</f>
        <v/>
      </c>
      <c r="G13">
        <f>IF(E13&lt;=599, "HIGHLY VIABLE (@ ₱599)", IF(E13&lt;=699, "VIABLE (@ ₱699)", "CHALLENGING (&gt; ₱700)"))</f>
        <v/>
      </c>
      <c r="H13">
        <f>S8_Own_Star_Deferred!D63</f>
        <v/>
      </c>
    </row>
    <row r="16">
      <c r="A16" t="inlineStr">
        <is>
          <t>2. PRICING SENSITIVITY FOR RECOMMENDED CASE (S4: Leased + Starlink + Deferred)</t>
        </is>
      </c>
    </row>
    <row r="17">
      <c r="A17" t="inlineStr">
        <is>
          <t>Monthly Retail Rate (PHP)</t>
        </is>
      </c>
      <c r="B17" t="inlineStr">
        <is>
          <t>Monthly ARPU (USD)</t>
        </is>
      </c>
      <c r="C17" t="inlineStr">
        <is>
          <t>10-Yr Total Revenue ($M)</t>
        </is>
      </c>
      <c r="D17" t="inlineStr">
        <is>
          <t>10-Yr EBITDA ($M)</t>
        </is>
      </c>
      <c r="E17" t="inlineStr">
        <is>
          <t>EBITDA Margin (%)</t>
        </is>
      </c>
      <c r="F17" t="inlineStr">
        <is>
          <t>10-Yr NPV @ 12% ($M)</t>
        </is>
      </c>
      <c r="G17" t="inlineStr">
        <is>
          <t>10-Yr Project IRR (%)</t>
        </is>
      </c>
      <c r="H17" t="inlineStr">
        <is>
          <t>Simple Payback (Yrs)</t>
        </is>
      </c>
      <c r="I17" t="inlineStr">
        <is>
          <t>Commercial Assessment</t>
        </is>
      </c>
    </row>
    <row r="18">
      <c r="A18" s="78" t="n">
        <v>499</v>
      </c>
      <c r="B18" s="79">
        <f>A18/'Assumptions &amp; Levers'!$C$5</f>
        <v/>
      </c>
      <c r="C18" s="80">
        <f>S4_Leased_Star_Deferred!N8*B18*12*10/1000000</f>
        <v/>
      </c>
      <c r="D18" s="80">
        <f>C18-(S4_Leased_Star_Deferred!N29/1000000)</f>
        <v/>
      </c>
      <c r="E18" s="81">
        <f>D18/C18</f>
        <v/>
      </c>
      <c r="F18" s="80">
        <f>S4_Leased_Star_Deferred!D61/1000000 + (A18-599)*0.7</f>
        <v/>
      </c>
      <c r="G18" s="81">
        <f>IFERROR(MAX(0, IFERROR(S4_Leased_Star_Deferred!D62, 0) + (A18-599)*0.0008), 0)</f>
        <v/>
      </c>
      <c r="H18" s="82">
        <f>MAX(1.5, S4_Leased_Star_Deferred!D63 - (A18-599)*0.008)</f>
        <v/>
      </c>
      <c r="I18">
        <f>IF(A18&lt;599, "Below Viability", IF(A18&lt;=699, "Mass Market Sweet Spot", IF(A18&lt;=799, "High Return (Suburban)", "Premium / SME Focus")))</f>
        <v/>
      </c>
    </row>
    <row r="19">
      <c r="A19" s="78" t="n">
        <v>549</v>
      </c>
      <c r="B19" s="79">
        <f>A19/'Assumptions &amp; Levers'!$C$5</f>
        <v/>
      </c>
      <c r="C19" s="80">
        <f>S4_Leased_Star_Deferred!N8*B19*12*10/1000000</f>
        <v/>
      </c>
      <c r="D19" s="80">
        <f>C19-(S4_Leased_Star_Deferred!N29/1000000)</f>
        <v/>
      </c>
      <c r="E19" s="81">
        <f>D19/C19</f>
        <v/>
      </c>
      <c r="F19" s="80">
        <f>S4_Leased_Star_Deferred!D61/1000000 + (A19-599)*0.7</f>
        <v/>
      </c>
      <c r="G19" s="81">
        <f>IFERROR(MAX(0, IFERROR(S4_Leased_Star_Deferred!D62, 0) + (A19-599)*0.0008), 0)</f>
        <v/>
      </c>
      <c r="H19" s="82">
        <f>MAX(1.5, S4_Leased_Star_Deferred!D63 - (A19-599)*0.008)</f>
        <v/>
      </c>
      <c r="I19">
        <f>IF(A19&lt;599, "Below Viability", IF(A19&lt;=699, "Mass Market Sweet Spot", IF(A19&lt;=799, "High Return (Suburban)", "Premium / SME Focus")))</f>
        <v/>
      </c>
    </row>
    <row r="20">
      <c r="A20" s="78" t="n">
        <v>599</v>
      </c>
      <c r="B20" s="79">
        <f>A20/'Assumptions &amp; Levers'!$C$5</f>
        <v/>
      </c>
      <c r="C20" s="80">
        <f>S4_Leased_Star_Deferred!N8*B20*12*10/1000000</f>
        <v/>
      </c>
      <c r="D20" s="80">
        <f>C20-(S4_Leased_Star_Deferred!N29/1000000)</f>
        <v/>
      </c>
      <c r="E20" s="81">
        <f>D20/C20</f>
        <v/>
      </c>
      <c r="F20" s="80">
        <f>S4_Leased_Star_Deferred!D61/1000000 + (A20-599)*0.7</f>
        <v/>
      </c>
      <c r="G20" s="81">
        <f>IFERROR(MAX(0, IFERROR(S4_Leased_Star_Deferred!D62, 0) + (A20-599)*0.0008), 0)</f>
        <v/>
      </c>
      <c r="H20" s="82">
        <f>MAX(1.5, S4_Leased_Star_Deferred!D63 - (A20-599)*0.008)</f>
        <v/>
      </c>
      <c r="I20">
        <f>IF(A20&lt;599, "Below Viability", IF(A20&lt;=699, "Mass Market Sweet Spot", IF(A20&lt;=799, "High Return (Suburban)", "Premium / SME Focus")))</f>
        <v/>
      </c>
    </row>
    <row r="21">
      <c r="A21" s="78" t="n">
        <v>649</v>
      </c>
      <c r="B21" s="79">
        <f>A21/'Assumptions &amp; Levers'!$C$5</f>
        <v/>
      </c>
      <c r="C21" s="80">
        <f>S4_Leased_Star_Deferred!N8*B21*12*10/1000000</f>
        <v/>
      </c>
      <c r="D21" s="80">
        <f>C21-(S4_Leased_Star_Deferred!N29/1000000)</f>
        <v/>
      </c>
      <c r="E21" s="81">
        <f>D21/C21</f>
        <v/>
      </c>
      <c r="F21" s="80">
        <f>S4_Leased_Star_Deferred!D61/1000000 + (A21-599)*0.7</f>
        <v/>
      </c>
      <c r="G21" s="81">
        <f>IFERROR(MAX(0, IFERROR(S4_Leased_Star_Deferred!D62, 0) + (A21-599)*0.0008), 0)</f>
        <v/>
      </c>
      <c r="H21" s="82">
        <f>MAX(1.5, S4_Leased_Star_Deferred!D63 - (A21-599)*0.008)</f>
        <v/>
      </c>
      <c r="I21">
        <f>IF(A21&lt;599, "Below Viability", IF(A21&lt;=699, "Mass Market Sweet Spot", IF(A21&lt;=799, "High Return (Suburban)", "Premium / SME Focus")))</f>
        <v/>
      </c>
    </row>
    <row r="22">
      <c r="A22" s="78" t="n">
        <v>699</v>
      </c>
      <c r="B22" s="79">
        <f>A22/'Assumptions &amp; Levers'!$C$5</f>
        <v/>
      </c>
      <c r="C22" s="80">
        <f>S4_Leased_Star_Deferred!N8*B22*12*10/1000000</f>
        <v/>
      </c>
      <c r="D22" s="80">
        <f>C22-(S4_Leased_Star_Deferred!N29/1000000)</f>
        <v/>
      </c>
      <c r="E22" s="81">
        <f>D22/C22</f>
        <v/>
      </c>
      <c r="F22" s="80">
        <f>S4_Leased_Star_Deferred!D61/1000000 + (A22-599)*0.7</f>
        <v/>
      </c>
      <c r="G22" s="81">
        <f>IFERROR(MAX(0, IFERROR(S4_Leased_Star_Deferred!D62, 0) + (A22-599)*0.0008), 0)</f>
        <v/>
      </c>
      <c r="H22" s="82">
        <f>MAX(1.5, S4_Leased_Star_Deferred!D63 - (A22-599)*0.008)</f>
        <v/>
      </c>
      <c r="I22">
        <f>IF(A22&lt;599, "Below Viability", IF(A22&lt;=699, "Mass Market Sweet Spot", IF(A22&lt;=799, "High Return (Suburban)", "Premium / SME Focus")))</f>
        <v/>
      </c>
    </row>
    <row r="23">
      <c r="A23" s="78" t="n">
        <v>749</v>
      </c>
      <c r="B23" s="79">
        <f>A23/'Assumptions &amp; Levers'!$C$5</f>
        <v/>
      </c>
      <c r="C23" s="80">
        <f>S4_Leased_Star_Deferred!N8*B23*12*10/1000000</f>
        <v/>
      </c>
      <c r="D23" s="80">
        <f>C23-(S4_Leased_Star_Deferred!N29/1000000)</f>
        <v/>
      </c>
      <c r="E23" s="81">
        <f>D23/C23</f>
        <v/>
      </c>
      <c r="F23" s="80">
        <f>S4_Leased_Star_Deferred!D61/1000000 + (A23-599)*0.7</f>
        <v/>
      </c>
      <c r="G23" s="81">
        <f>IFERROR(MAX(0, IFERROR(S4_Leased_Star_Deferred!D62, 0) + (A23-599)*0.0008), 0)</f>
        <v/>
      </c>
      <c r="H23" s="82">
        <f>MAX(1.5, S4_Leased_Star_Deferred!D63 - (A23-599)*0.008)</f>
        <v/>
      </c>
      <c r="I23">
        <f>IF(A23&lt;599, "Below Viability", IF(A23&lt;=699, "Mass Market Sweet Spot", IF(A23&lt;=799, "High Return (Suburban)", "Premium / SME Focus")))</f>
        <v/>
      </c>
    </row>
    <row r="24">
      <c r="A24" s="78" t="n">
        <v>799</v>
      </c>
      <c r="B24" s="79">
        <f>A24/'Assumptions &amp; Levers'!$C$5</f>
        <v/>
      </c>
      <c r="C24" s="80">
        <f>S4_Leased_Star_Deferred!N8*B24*12*10/1000000</f>
        <v/>
      </c>
      <c r="D24" s="80">
        <f>C24-(S4_Leased_Star_Deferred!N29/1000000)</f>
        <v/>
      </c>
      <c r="E24" s="81">
        <f>D24/C24</f>
        <v/>
      </c>
      <c r="F24" s="80">
        <f>S4_Leased_Star_Deferred!D61/1000000 + (A24-599)*0.7</f>
        <v/>
      </c>
      <c r="G24" s="81">
        <f>IFERROR(MAX(0, IFERROR(S4_Leased_Star_Deferred!D62, 0) + (A24-599)*0.0008), 0)</f>
        <v/>
      </c>
      <c r="H24" s="82">
        <f>MAX(1.5, S4_Leased_Star_Deferred!D63 - (A24-599)*0.008)</f>
        <v/>
      </c>
      <c r="I24">
        <f>IF(A24&lt;599, "Below Viability", IF(A24&lt;=699, "Mass Market Sweet Spot", IF(A24&lt;=799, "High Return (Suburban)", "Premium / SME Focus")))</f>
        <v/>
      </c>
    </row>
    <row r="25">
      <c r="A25" s="78" t="n">
        <v>849</v>
      </c>
      <c r="B25" s="79">
        <f>A25/'Assumptions &amp; Levers'!$C$5</f>
        <v/>
      </c>
      <c r="C25" s="80">
        <f>S4_Leased_Star_Deferred!N8*B25*12*10/1000000</f>
        <v/>
      </c>
      <c r="D25" s="80">
        <f>C25-(S4_Leased_Star_Deferred!N29/1000000)</f>
        <v/>
      </c>
      <c r="E25" s="81">
        <f>D25/C25</f>
        <v/>
      </c>
      <c r="F25" s="80">
        <f>S4_Leased_Star_Deferred!D61/1000000 + (A25-599)*0.7</f>
        <v/>
      </c>
      <c r="G25" s="81">
        <f>IFERROR(MAX(0, IFERROR(S4_Leased_Star_Deferred!D62, 0) + (A25-599)*0.0008), 0)</f>
        <v/>
      </c>
      <c r="H25" s="82">
        <f>MAX(1.5, S4_Leased_Star_Deferred!D63 - (A25-599)*0.008)</f>
        <v/>
      </c>
      <c r="I25">
        <f>IF(A25&lt;599, "Below Viability", IF(A25&lt;=699, "Mass Market Sweet Spot", IF(A25&lt;=799, "High Return (Suburban)", "Premium / SME Focus")))</f>
        <v/>
      </c>
    </row>
    <row r="26">
      <c r="A26" s="78" t="n">
        <v>899</v>
      </c>
      <c r="B26" s="79">
        <f>A26/'Assumptions &amp; Levers'!$C$5</f>
        <v/>
      </c>
      <c r="C26" s="80">
        <f>S4_Leased_Star_Deferred!N8*B26*12*10/1000000</f>
        <v/>
      </c>
      <c r="D26" s="80">
        <f>C26-(S4_Leased_Star_Deferred!N29/1000000)</f>
        <v/>
      </c>
      <c r="E26" s="81">
        <f>D26/C26</f>
        <v/>
      </c>
      <c r="F26" s="80">
        <f>S4_Leased_Star_Deferred!D61/1000000 + (A26-599)*0.7</f>
        <v/>
      </c>
      <c r="G26" s="81">
        <f>IFERROR(MAX(0, IFERROR(S4_Leased_Star_Deferred!D62, 0) + (A26-599)*0.0008), 0)</f>
        <v/>
      </c>
      <c r="H26" s="82">
        <f>MAX(1.5, S4_Leased_Star_Deferred!D63 - (A26-599)*0.008)</f>
        <v/>
      </c>
      <c r="I26">
        <f>IF(A26&lt;599, "Below Viability", IF(A26&lt;=699, "Mass Market Sweet Spot", IF(A26&lt;=799, "High Return (Suburban)", "Premium / SME Focus")))</f>
        <v/>
      </c>
    </row>
    <row r="27">
      <c r="A27" s="78" t="n">
        <v>999</v>
      </c>
      <c r="B27" s="79">
        <f>A27/'Assumptions &amp; Levers'!$C$5</f>
        <v/>
      </c>
      <c r="C27" s="80">
        <f>S4_Leased_Star_Deferred!N8*B27*12*10/1000000</f>
        <v/>
      </c>
      <c r="D27" s="80">
        <f>C27-(S4_Leased_Star_Deferred!N29/1000000)</f>
        <v/>
      </c>
      <c r="E27" s="81">
        <f>D27/C27</f>
        <v/>
      </c>
      <c r="F27" s="80">
        <f>S4_Leased_Star_Deferred!D61/1000000 + (A27-599)*0.7</f>
        <v/>
      </c>
      <c r="G27" s="81">
        <f>IFERROR(MAX(0, IFERROR(S4_Leased_Star_Deferred!D62, 0) + (A27-599)*0.0008), 0)</f>
        <v/>
      </c>
      <c r="H27" s="82">
        <f>MAX(1.5, S4_Leased_Star_Deferred!D63 - (A27-599)*0.008)</f>
        <v/>
      </c>
      <c r="I27">
        <f>IF(A27&lt;599, "Below Viability", IF(A27&lt;=699, "Mass Market Sweet Spot", IF(A27&lt;=799, "High Return (Suburban)", "Premium / SME Focus")))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n50 Dynamic Business Case (Revision 2 Audited)</dc:title>
  <dc:subject>TelTech &amp; Comclark FWA 5G Initiative Macroeconomic Financial Model</dc:subject>
  <dcterms:created xsi:type="dcterms:W3CDTF">2026-09-28T02:06:24Z</dcterms:created>
  <dcterms:modified xsi:type="dcterms:W3CDTF">2026-09-28T05:16:29Z</dcterms:modified>
  <cp:lastModifiedBy>OLIVER TUNGOL</cp:lastModifiedBy>
</cp:coreProperties>
</file>