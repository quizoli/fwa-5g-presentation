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73" customWidth="1" min="5" max="5"/>
  </cols>
  <sheetData>
    <row r="1">
      <c r="A1" s="1" t="inlineStr">
        <is>
          <t>FWA 5G n50 (100 MHz) — POPCEN 2024 Commercial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3"/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2667770</v>
      </c>
      <c r="D13" s="7" t="inlineStr">
        <is>
          <t>subs</t>
        </is>
      </c>
      <c r="E13" s="8" t="inlineStr">
        <is>
          <t>Sum of target households @ 30% take-rate across POPCEN 2024 Commercial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5965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824</v>
      </c>
      <c r="D15" s="7" t="inlineStr">
        <is>
          <t>sites</t>
        </is>
      </c>
      <c r="E15" s="8" t="inlineStr">
        <is>
          <t>Audited short node connections &lt;=1 km (82.4%)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85</v>
      </c>
      <c r="D16" s="7" t="inlineStr">
        <is>
          <t>sites</t>
        </is>
      </c>
      <c r="E16" s="8" t="inlineStr">
        <is>
          <t>Audited line taps &lt;=500m (8.5%)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89</v>
      </c>
      <c r="D17" s="7" t="inlineStr">
        <is>
          <t>sites</t>
        </is>
      </c>
      <c r="E17" s="8" t="inlineStr">
        <is>
          <t>Audited asset within 3 km (8.9%)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2</v>
      </c>
      <c r="D18" s="7" t="inlineStr">
        <is>
          <t>sites</t>
        </is>
      </c>
      <c r="E18" s="8" t="inlineStr">
        <is>
          <t>Remote candidate sites &gt;3 km (0.2%)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POPCEN 2024 Commercial</t>
        </is>
      </c>
    </row>
    <row r="2">
      <c r="A2" s="2" t="inlineStr">
        <is>
          <t>Audited 4-Tier Transmission Mix | 8T8R Sizing | Leased Towers vs Own Build</t>
        </is>
      </c>
    </row>
    <row r="3"/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 t="n">
        <v>1000</v>
      </c>
      <c r="E5" s="15" t="n">
        <v>2000</v>
      </c>
      <c r="F5" s="15" t="n">
        <v>3000</v>
      </c>
      <c r="G5" s="15" t="n">
        <v>4000</v>
      </c>
      <c r="H5" s="15" t="n">
        <v>5000</v>
      </c>
      <c r="I5" s="15" t="n">
        <v>5000</v>
      </c>
      <c r="J5" s="15" t="n">
        <v>5000</v>
      </c>
      <c r="K5" s="15" t="n">
        <v>5000</v>
      </c>
      <c r="L5" s="15" t="n">
        <v>5000</v>
      </c>
      <c r="M5" s="15" t="n">
        <v>5000</v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350000</v>
      </c>
      <c r="E6" s="15" t="n">
        <v>750000</v>
      </c>
      <c r="F6" s="15" t="n">
        <v>1200000</v>
      </c>
      <c r="G6" s="15" t="n">
        <v>1700000</v>
      </c>
      <c r="H6" s="15" t="n">
        <v>2200000</v>
      </c>
      <c r="I6" s="15" t="n">
        <v>2400000</v>
      </c>
      <c r="J6" s="15" t="n">
        <v>2500000</v>
      </c>
      <c r="K6" s="15" t="n">
        <v>2580000</v>
      </c>
      <c r="L6" s="15" t="n">
        <v>2630000</v>
      </c>
      <c r="M6" s="15" t="n">
        <v>2667770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53.38</v>
      </c>
      <c r="E7" s="17" t="n">
        <v>114.38</v>
      </c>
      <c r="F7" s="17" t="n">
        <v>183.01</v>
      </c>
      <c r="G7" s="17" t="n">
        <v>259.27</v>
      </c>
      <c r="H7" s="17" t="n">
        <v>335.52</v>
      </c>
      <c r="I7" s="17" t="n">
        <v>366.02</v>
      </c>
      <c r="J7" s="17" t="n">
        <v>381.27</v>
      </c>
      <c r="K7" s="17" t="n">
        <v>393.47</v>
      </c>
      <c r="L7" s="17" t="n">
        <v>401.1</v>
      </c>
      <c r="M7" s="17" t="n">
        <v>406.86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9.890000000000001</v>
      </c>
      <c r="E9" s="17" t="n">
        <v>19.78</v>
      </c>
      <c r="F9" s="17" t="n">
        <v>29.67</v>
      </c>
      <c r="G9" s="17" t="n">
        <v>39.56</v>
      </c>
      <c r="H9" s="17" t="n">
        <v>49.45</v>
      </c>
      <c r="I9" s="17" t="n">
        <v>49.45</v>
      </c>
      <c r="J9" s="17" t="n">
        <v>49.45</v>
      </c>
      <c r="K9" s="17" t="n">
        <v>49.45</v>
      </c>
      <c r="L9" s="17" t="n">
        <v>49.45</v>
      </c>
      <c r="M9" s="17" t="n">
        <v>49.45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SUM(D7:D9)</f>
        <v/>
      </c>
      <c r="E11" s="17">
        <f>SUM(E7:E9)</f>
        <v/>
      </c>
      <c r="F11" s="17">
        <f>SUM(F7:F9)</f>
        <v/>
      </c>
      <c r="G11" s="17">
        <f>SUM(G7:G9)</f>
        <v/>
      </c>
      <c r="H11" s="17">
        <f>SUM(H7:H9)</f>
        <v/>
      </c>
      <c r="I11" s="17">
        <f>SUM(I7:I9)</f>
        <v/>
      </c>
      <c r="J11" s="17">
        <f>SUM(J7:J9)</f>
        <v/>
      </c>
      <c r="K11" s="17">
        <f>SUM(K7:K9)</f>
        <v/>
      </c>
      <c r="L11" s="17">
        <f>SUM(L7:L9)</f>
        <v/>
      </c>
      <c r="M11" s="17">
        <f>SUM(M7:M9)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D6-D10</f>
        <v/>
      </c>
      <c r="E12" s="18">
        <f>E6-E10</f>
        <v/>
      </c>
      <c r="F12" s="18">
        <f>F6-F10</f>
        <v/>
      </c>
      <c r="G12" s="18">
        <f>G6-G10</f>
        <v/>
      </c>
      <c r="H12" s="18">
        <f>H6-H10</f>
        <v/>
      </c>
      <c r="I12" s="18">
        <f>I6-I10</f>
        <v/>
      </c>
      <c r="J12" s="18">
        <f>J6-J10</f>
        <v/>
      </c>
      <c r="K12" s="18">
        <f>K6-K10</f>
        <v/>
      </c>
      <c r="L12" s="18">
        <f>L6-L10</f>
        <v/>
      </c>
      <c r="M12" s="18">
        <f>M6-M10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3.47</v>
      </c>
      <c r="E14" s="17" t="n">
        <v>3.47</v>
      </c>
      <c r="F14" s="17" t="n">
        <v>3.47</v>
      </c>
      <c r="G14" s="17" t="n">
        <v>3.47</v>
      </c>
      <c r="H14" s="17" t="n">
        <v>3.47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19.25</v>
      </c>
      <c r="E15" s="17" t="n">
        <v>22</v>
      </c>
      <c r="F15" s="17" t="n">
        <v>24.75</v>
      </c>
      <c r="G15" s="17" t="n">
        <v>27.5</v>
      </c>
      <c r="H15" s="17" t="n">
        <v>27.5</v>
      </c>
      <c r="I15" s="17" t="n">
        <v>11</v>
      </c>
      <c r="J15" s="17" t="n">
        <v>5.5</v>
      </c>
      <c r="K15" s="17" t="n">
        <v>4.4</v>
      </c>
      <c r="L15" s="17" t="n">
        <v>2.75</v>
      </c>
      <c r="M15" s="17" t="n">
        <v>2.08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SUM(D12:D14)</f>
        <v/>
      </c>
      <c r="E16" s="17">
        <f>SUM(E12:E14)</f>
        <v/>
      </c>
      <c r="F16" s="17">
        <f>SUM(F12:F14)</f>
        <v/>
      </c>
      <c r="G16" s="17">
        <f>SUM(G12:G14)</f>
        <v/>
      </c>
      <c r="H16" s="17">
        <f>SUM(H12:H14)</f>
        <v/>
      </c>
      <c r="I16" s="17">
        <f>SUM(I12:I14)</f>
        <v/>
      </c>
      <c r="J16" s="17">
        <f>SUM(J12:J14)</f>
        <v/>
      </c>
      <c r="K16" s="17">
        <f>SUM(K12:K14)</f>
        <v/>
      </c>
      <c r="L16" s="17">
        <f>SUM(L12:L14)</f>
        <v/>
      </c>
      <c r="M16" s="17">
        <f>SUM(M12:M14)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D11-D15</f>
        <v/>
      </c>
      <c r="E17" s="22">
        <f>E11-E15</f>
        <v/>
      </c>
      <c r="F17" s="22">
        <f>F11-F15</f>
        <v/>
      </c>
      <c r="G17" s="22">
        <f>G11-G15</f>
        <v/>
      </c>
      <c r="H17" s="22">
        <f>H11-H15</f>
        <v/>
      </c>
      <c r="I17" s="22">
        <f>I11-I15</f>
        <v/>
      </c>
      <c r="J17" s="22">
        <f>J11-J15</f>
        <v/>
      </c>
      <c r="K17" s="22">
        <f>K11-K15</f>
        <v/>
      </c>
      <c r="L17" s="22">
        <f>L11-L15</f>
        <v/>
      </c>
      <c r="M17" s="22">
        <f>M11-M15</f>
        <v/>
      </c>
    </row>
    <row r="18"/>
    <row r="19"/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4.8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POPCEN 2024 Commercial (Rev 2 Audited)</dc:title>
  <dcterms:created xsi:type="dcterms:W3CDTF">2026-09-28T01:48:31Z</dcterms:created>
  <dcterms:modified xsi:type="dcterms:W3CDTF">2026-09-28T01:48:31Z</dcterms:modified>
  <cp:lastModifiedBy>OLIVER TUNGOL</cp:lastModifiedBy>
</cp:coreProperties>
</file>