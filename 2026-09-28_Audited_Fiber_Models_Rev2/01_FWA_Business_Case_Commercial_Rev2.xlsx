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73" customWidth="1" min="5" max="5"/>
  </cols>
  <sheetData>
    <row r="1">
      <c r="A1" s="1" t="inlineStr">
        <is>
          <t>FWA 5G n50 (100 MHz) — POPCEN 2024 Commercial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2667294</v>
      </c>
      <c r="D13" s="7" t="inlineStr">
        <is>
          <t>subs</t>
        </is>
      </c>
      <c r="E13" s="8" t="inlineStr">
        <is>
          <t>Sum of target households @ 30% take-rate across POPCEN 2024 Commercial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5965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1000</v>
      </c>
      <c r="D15" s="7" t="inlineStr">
        <is>
          <t>sites</t>
        </is>
      </c>
      <c r="E15" s="8" t="inlineStr">
        <is>
          <t>Audited short node connections &lt;=1 km (100.0%)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0</v>
      </c>
      <c r="D16" s="7" t="inlineStr">
        <is>
          <t>sites</t>
        </is>
      </c>
      <c r="E16" s="8" t="inlineStr">
        <is>
          <t>Audited line taps &lt;=500m (0.0%)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0</v>
      </c>
      <c r="D17" s="7" t="inlineStr">
        <is>
          <t>sites</t>
        </is>
      </c>
      <c r="E17" s="8" t="inlineStr">
        <is>
          <t>Audited asset within 3 km (0.0%)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0</v>
      </c>
      <c r="D18" s="7" t="inlineStr">
        <is>
          <t>sites</t>
        </is>
      </c>
      <c r="E18" s="8" t="inlineStr">
        <is>
          <t>Remote candidate sites &gt;3 km (0.0%)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22" customWidth="1" min="2" max="2"/>
    <col width="4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10-Year Financial Feasibility &amp; Scenario Analysis — POPCEN 2024 Commercial</t>
        </is>
      </c>
    </row>
    <row r="2">
      <c r="A2" s="2" t="inlineStr">
        <is>
          <t>Audited 4-Tier Transmission Mix | 8T8R Sizing | Leased Towers vs Own Build</t>
        </is>
      </c>
    </row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</f>
        <v/>
      </c>
      <c r="E5" s="15">
        <f>D5+'Assumptions &amp; Levers'!</f>
        <v/>
      </c>
      <c r="F5" s="15">
        <f>E5+'Assumptions &amp; Levers'!</f>
        <v/>
      </c>
      <c r="G5" s="15">
        <f>F5+'Assumptions &amp; Levers'!</f>
        <v/>
      </c>
      <c r="H5" s="15">
        <f>G5+'Assumptions &amp; Levers'!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350000</v>
      </c>
      <c r="E6" s="15" t="n">
        <v>750000</v>
      </c>
      <c r="F6" s="15" t="n">
        <v>1200000</v>
      </c>
      <c r="G6" s="15" t="n">
        <v>1700000</v>
      </c>
      <c r="H6" s="15" t="n">
        <v>2200000</v>
      </c>
      <c r="I6" s="15" t="n">
        <v>2400000</v>
      </c>
      <c r="J6" s="15" t="n">
        <v>2500000</v>
      </c>
      <c r="K6" s="15" t="n">
        <v>2580000</v>
      </c>
      <c r="L6" s="15" t="n">
        <v>2630000</v>
      </c>
      <c r="M6" s="15" t="n">
        <v>2667770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 t="n">
        <v>53.38</v>
      </c>
      <c r="E7" s="17" t="n">
        <v>114.38</v>
      </c>
      <c r="F7" s="17" t="n">
        <v>183.01</v>
      </c>
      <c r="G7" s="17" t="n">
        <v>259.27</v>
      </c>
      <c r="H7" s="17" t="n">
        <v>335.52</v>
      </c>
      <c r="I7" s="17" t="n">
        <v>366.02</v>
      </c>
      <c r="J7" s="17" t="n">
        <v>381.27</v>
      </c>
      <c r="K7" s="17" t="n">
        <v>393.47</v>
      </c>
      <c r="L7" s="17" t="n">
        <v>401.1</v>
      </c>
      <c r="M7" s="17" t="n">
        <v>406.86</v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 t="n">
        <v>26.18</v>
      </c>
      <c r="E8" s="17" t="n">
        <v>52.36</v>
      </c>
      <c r="F8" s="17" t="n">
        <v>78.55</v>
      </c>
      <c r="G8" s="17" t="n">
        <v>104.73</v>
      </c>
      <c r="H8" s="17" t="n">
        <v>130.91</v>
      </c>
      <c r="I8" s="17" t="n">
        <v>130.91</v>
      </c>
      <c r="J8" s="17" t="n">
        <v>130.91</v>
      </c>
      <c r="K8" s="17" t="n">
        <v>130.91</v>
      </c>
      <c r="L8" s="17" t="n">
        <v>130.91</v>
      </c>
      <c r="M8" s="17" t="n">
        <v>130.91</v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 t="n">
        <v>9.890000000000001</v>
      </c>
      <c r="E9" s="17" t="n">
        <v>19.78</v>
      </c>
      <c r="F9" s="17" t="n">
        <v>29.67</v>
      </c>
      <c r="G9" s="17" t="n">
        <v>39.56</v>
      </c>
      <c r="H9" s="17" t="n">
        <v>49.45</v>
      </c>
      <c r="I9" s="17" t="n">
        <v>49.45</v>
      </c>
      <c r="J9" s="17" t="n">
        <v>49.45</v>
      </c>
      <c r="K9" s="17" t="n">
        <v>49.45</v>
      </c>
      <c r="L9" s="17" t="n">
        <v>49.45</v>
      </c>
      <c r="M9" s="17" t="n">
        <v>49.45</v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 t="n">
        <v>26.18</v>
      </c>
      <c r="E10" s="17" t="n">
        <v>52.36</v>
      </c>
      <c r="F10" s="17" t="n">
        <v>78.55</v>
      </c>
      <c r="G10" s="17" t="n">
        <v>104.73</v>
      </c>
      <c r="H10" s="17" t="n">
        <v>130.91</v>
      </c>
      <c r="I10" s="17" t="n">
        <v>130.91</v>
      </c>
      <c r="J10" s="17" t="n">
        <v>130.91</v>
      </c>
      <c r="K10" s="17" t="n">
        <v>130.91</v>
      </c>
      <c r="L10" s="17" t="n">
        <v>130.91</v>
      </c>
      <c r="M10" s="17" t="n">
        <v>130.91</v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 t="n">
        <v>41.9</v>
      </c>
      <c r="E13" s="17" t="n">
        <v>41.9</v>
      </c>
      <c r="F13" s="17" t="n">
        <v>41.9</v>
      </c>
      <c r="G13" s="17" t="n">
        <v>41.9</v>
      </c>
      <c r="H13" s="17" t="n">
        <v>41.9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 t="n">
        <v>3.47</v>
      </c>
      <c r="E14" s="17" t="n">
        <v>3.47</v>
      </c>
      <c r="F14" s="17" t="n">
        <v>3.47</v>
      </c>
      <c r="G14" s="17" t="n">
        <v>3.47</v>
      </c>
      <c r="H14" s="17" t="n">
        <v>3.47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 t="n">
        <v>19.25</v>
      </c>
      <c r="E15" s="17" t="n">
        <v>22</v>
      </c>
      <c r="F15" s="17" t="n">
        <v>24.75</v>
      </c>
      <c r="G15" s="17" t="n">
        <v>27.5</v>
      </c>
      <c r="H15" s="17" t="n">
        <v>27.5</v>
      </c>
      <c r="I15" s="17" t="n">
        <v>11</v>
      </c>
      <c r="J15" s="17" t="n">
        <v>5.5</v>
      </c>
      <c r="K15" s="17" t="n">
        <v>4.4</v>
      </c>
      <c r="L15" s="17" t="n">
        <v>2.75</v>
      </c>
      <c r="M15" s="17" t="n">
        <v>2.08</v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NPV(0.12,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9.7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$D$16+$E$16</f>
        <v/>
      </c>
      <c r="C24" s="8" t="inlineStr">
        <is>
          <t>Maximum cash trough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POPCEN 2024 Commercial (Rev 2 Audited)</dc:title>
  <dcterms:created xsi:type="dcterms:W3CDTF">2026-09-28T04:22:54Z</dcterms:created>
  <dcterms:modified xsi:type="dcterms:W3CDTF">2026-09-28T04:26:48Z</dcterms:modified>
  <cp:lastModifiedBy>OLIVER TUNGOL</cp:lastModifiedBy>
</cp:coreProperties>
</file>