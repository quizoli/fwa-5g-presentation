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7" customWidth="1" min="2" max="2"/>
    <col width="16" customWidth="1" min="3" max="3"/>
    <col width="14" customWidth="1" min="4" max="4"/>
    <col width="88" customWidth="1" min="5" max="5"/>
  </cols>
  <sheetData>
    <row r="1">
      <c r="A1" s="1" t="inlineStr">
        <is>
          <t>FWA 5G n50 (60 MHz) — Combined Hybrid Dual Optimization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2452688</v>
      </c>
      <c r="D13" s="7" t="inlineStr">
        <is>
          <t>subs</t>
        </is>
      </c>
      <c r="E13" s="8" t="inlineStr">
        <is>
          <t>Sum of target households @ 30% take-rate across Combined Hybrid Dual Optimization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6138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312</v>
      </c>
      <c r="D15" s="7" t="inlineStr">
        <is>
          <t>sites</t>
        </is>
      </c>
      <c r="E15" s="8" t="inlineStr">
        <is>
          <t>Audited short node connections &lt;=1 km (31.2%)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177</v>
      </c>
      <c r="D16" s="7" t="inlineStr">
        <is>
          <t>sites</t>
        </is>
      </c>
      <c r="E16" s="8" t="inlineStr">
        <is>
          <t>Audited line taps &lt;=500m (17.7%)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266</v>
      </c>
      <c r="D17" s="7" t="inlineStr">
        <is>
          <t>sites</t>
        </is>
      </c>
      <c r="E17" s="8" t="inlineStr">
        <is>
          <t>Audited asset within 3 km (26.6%)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245</v>
      </c>
      <c r="D18" s="7" t="inlineStr">
        <is>
          <t>sites</t>
        </is>
      </c>
      <c r="E18" s="8" t="inlineStr">
        <is>
          <t>Remote candidate sites &gt;3 km (24.5%)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75000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Phase 1 TowerCo Co-location Ready (&lt;=1.0 km)</t>
        </is>
      </c>
      <c r="C32" s="11" t="n">
        <v>651</v>
      </c>
      <c r="D32" s="7" t="inlineStr">
        <is>
          <t>sites</t>
        </is>
      </c>
      <c r="E32" s="8" t="inlineStr">
        <is>
          <t>Audited existing towers &lt;=1 km (65.1% of Phase 1)</t>
        </is>
      </c>
    </row>
    <row r="33">
      <c r="A33" s="4" t="inlineStr">
        <is>
          <t>Tower Infrastructure</t>
        </is>
      </c>
      <c r="B33" s="5" t="inlineStr">
        <is>
          <t>Phase 1 Greenfield Own-Build (&gt;2.0 km)</t>
        </is>
      </c>
      <c r="C33" s="11" t="n">
        <v>266</v>
      </c>
      <c r="D33" s="7" t="inlineStr">
        <is>
          <t>sites</t>
        </is>
      </c>
      <c r="E33" s="8" t="inlineStr">
        <is>
          <t>Remote sites requiring new monopole build (26.6%)</t>
        </is>
      </c>
    </row>
    <row r="34">
      <c r="A34" s="4" t="inlineStr">
        <is>
          <t>Tower Infrastructure</t>
        </is>
      </c>
      <c r="B34" s="5" t="inlineStr">
        <is>
          <t>Total Program Empirical Co-location Rate</t>
        </is>
      </c>
      <c r="C34" s="9" t="n">
        <v>0.5522</v>
      </c>
      <c r="D34" s="7" t="inlineStr">
        <is>
          <t>%</t>
        </is>
      </c>
      <c r="E34" s="8" t="inlineStr">
        <is>
          <t>Empirical ratio of sites with tower &lt;=1.0 km across Combined Hybrid Dual Optimization</t>
        </is>
      </c>
    </row>
    <row r="35">
      <c r="A35" s="4" t="inlineStr">
        <is>
          <t>Tower Infrastructure</t>
        </is>
      </c>
      <c r="B35" s="5" t="inlineStr">
        <is>
          <t>Total Program Greenfield Own-Build Rate</t>
        </is>
      </c>
      <c r="C35" s="9" t="n">
        <v>0.351</v>
      </c>
      <c r="D35" s="7" t="inlineStr">
        <is>
          <t>%</t>
        </is>
      </c>
      <c r="E35" s="8" t="inlineStr">
        <is>
          <t>Empirical ratio of sites with tower &gt;2.0 km across Combined Hybrid Dual Optimization</t>
        </is>
      </c>
    </row>
    <row r="36">
      <c r="A36" s="4" t="inlineStr">
        <is>
          <t>Tower Infrastructure</t>
        </is>
      </c>
      <c r="B36" s="5" t="inlineStr">
        <is>
          <t>TowerCo Lease Rate (Colocation)</t>
        </is>
      </c>
      <c r="C36" s="11" t="n">
        <v>120000</v>
      </c>
      <c r="D36" s="7" t="inlineStr">
        <is>
          <t>PHP/site/mo</t>
        </is>
      </c>
      <c r="E36" s="8" t="inlineStr">
        <is>
          <t>Full turnkey macro colocation lease</t>
        </is>
      </c>
    </row>
    <row r="37">
      <c r="A37" s="4" t="inlineStr">
        <is>
          <t>Tower Infrastructure</t>
        </is>
      </c>
      <c r="B37" s="5" t="inlineStr">
        <is>
          <t>Own-Site Monopole Build CAPEX</t>
        </is>
      </c>
      <c r="C37" s="11" t="n">
        <v>3500000</v>
      </c>
      <c r="D37" s="7" t="inlineStr">
        <is>
          <t>PHP / site</t>
        </is>
      </c>
      <c r="E37" s="8" t="inlineStr">
        <is>
          <t>30m monopole, civil shelter, compound</t>
        </is>
      </c>
    </row>
    <row r="38">
      <c r="A38" s="4" t="inlineStr">
        <is>
          <t>Tower Infrastructure</t>
        </is>
      </c>
      <c r="B38" s="5" t="inlineStr">
        <is>
          <t>Own-Site Ground Land Lease OPEX</t>
        </is>
      </c>
      <c r="C38" s="11" t="n">
        <v>25000</v>
      </c>
      <c r="D38" s="7" t="inlineStr">
        <is>
          <t>PHP/site/mo</t>
        </is>
      </c>
      <c r="E38" s="8" t="inlineStr">
        <is>
          <t>Land rental for own-built greenfield monopole sites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192" customWidth="1" min="2" max="2"/>
    <col width="54" customWidth="1" min="3" max="3"/>
    <col width="181" customWidth="1" min="4" max="4"/>
    <col width="181" customWidth="1" min="5" max="5"/>
    <col width="181" customWidth="1" min="6" max="6"/>
    <col width="181" customWidth="1" min="7" max="7"/>
    <col width="181" customWidth="1" min="8" max="8"/>
    <col width="181" customWidth="1" min="9" max="9"/>
    <col width="181" customWidth="1" min="10" max="10"/>
    <col width="181" customWidth="1" min="11" max="11"/>
    <col width="181" customWidth="1" min="12" max="12"/>
    <col width="181" customWidth="1" min="13" max="13"/>
  </cols>
  <sheetData>
    <row r="1">
      <c r="A1" s="1" t="inlineStr">
        <is>
          <t>10-Year Financial Feasibility &amp; Scenario Analysis — Combined Hybrid Dual Optimization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450000</v>
      </c>
      <c r="E6" s="15" t="n">
        <v>950000</v>
      </c>
      <c r="F6" s="15" t="n">
        <v>1450000</v>
      </c>
      <c r="G6" s="15" t="n">
        <v>1850000</v>
      </c>
      <c r="H6" s="15" t="n">
        <v>2150000</v>
      </c>
      <c r="I6" s="15" t="n">
        <v>2280000</v>
      </c>
      <c r="J6" s="15" t="n">
        <v>2350000</v>
      </c>
      <c r="K6" s="15" t="n">
        <v>2390000</v>
      </c>
      <c r="L6" s="15" t="n">
        <v>2420000</v>
      </c>
      <c r="M6" s="15" t="n">
        <v>2453270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ROUND((D5*'Assumptions &amp; Levers'!$C$34*'Assumptions &amp; Levers'!$C$36*12+D5*'Assumptions &amp; Levers'!$C$35*'Assumptions &amp; Levers'!$C$38*12)/('Assumptions &amp; Levers'!$C$5*1000000), 2)</f>
        <v/>
      </c>
      <c r="E8" s="17">
        <f>ROUND((E5*'Assumptions &amp; Levers'!$C$34*'Assumptions &amp; Levers'!$C$36*12+E5*'Assumptions &amp; Levers'!$C$35*'Assumptions &amp; Levers'!$C$38*12)/('Assumptions &amp; Levers'!$C$5*1000000), 2)</f>
        <v/>
      </c>
      <c r="F8" s="17">
        <f>ROUND((F5*'Assumptions &amp; Levers'!$C$34*'Assumptions &amp; Levers'!$C$36*12+F5*'Assumptions &amp; Levers'!$C$35*'Assumptions &amp; Levers'!$C$38*12)/('Assumptions &amp; Levers'!$C$5*1000000), 2)</f>
        <v/>
      </c>
      <c r="G8" s="17">
        <f>ROUND((G5*'Assumptions &amp; Levers'!$C$34*'Assumptions &amp; Levers'!$C$36*12+G5*'Assumptions &amp; Levers'!$C$35*'Assumptions &amp; Levers'!$C$38*12)/('Assumptions &amp; Levers'!$C$5*1000000), 2)</f>
        <v/>
      </c>
      <c r="H8" s="17">
        <f>ROUND((H5*'Assumptions &amp; Levers'!$C$34*'Assumptions &amp; Levers'!$C$36*12+H5*'Assumptions &amp; Levers'!$C$35*'Assumptions &amp; Levers'!$C$38*12)/('Assumptions &amp; Levers'!$C$5*1000000), 2)</f>
        <v/>
      </c>
      <c r="I8" s="17">
        <f>ROUND((I5*'Assumptions &amp; Levers'!$C$34*'Assumptions &amp; Levers'!$C$36*12+I5*'Assumptions &amp; Levers'!$C$35*'Assumptions &amp; Levers'!$C$38*12)/('Assumptions &amp; Levers'!$C$5*1000000), 2)</f>
        <v/>
      </c>
      <c r="J8" s="17">
        <f>ROUND((J5*'Assumptions &amp; Levers'!$C$34*'Assumptions &amp; Levers'!$C$36*12+J5*'Assumptions &amp; Levers'!$C$35*'Assumptions &amp; Levers'!$C$38*12)/('Assumptions &amp; Levers'!$C$5*1000000), 2)</f>
        <v/>
      </c>
      <c r="K8" s="17">
        <f>ROUND((K5*'Assumptions &amp; Levers'!$C$34*'Assumptions &amp; Levers'!$C$36*12+K5*'Assumptions &amp; Levers'!$C$35*'Assumptions &amp; Levers'!$C$38*12)/('Assumptions &amp; Levers'!$C$5*1000000), 2)</f>
        <v/>
      </c>
      <c r="L8" s="17">
        <f>ROUND((L5*'Assumptions &amp; Levers'!$C$34*'Assumptions &amp; Levers'!$C$36*12+L5*'Assumptions &amp; Levers'!$C$35*'Assumptions &amp; Levers'!$C$38*12)/('Assumptions &amp; Levers'!$C$5*1000000), 2)</f>
        <v/>
      </c>
      <c r="M8" s="17">
        <f>ROUND((M5*'Assumptions &amp; Levers'!$C$34*'Assumptions &amp; Levers'!$C$36*12+M5*'Assumptions &amp; Levers'!$C$35*'Assumptions &amp; Levers'!$C$38*12)/('Assumptions &amp; Levers'!$C$5*1000000),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ROUND((D5*0.6564*46000*12+D5*0.3436*'Assumptions &amp; Levers'!$C$31*12)/('Assumptions &amp; Levers'!$C$5*1000000), 2)</f>
        <v/>
      </c>
      <c r="E9" s="17">
        <f>ROUND((E5*0.6564*46000*12+E5*0.3436*'Assumptions &amp; Levers'!$C$31*12)/('Assumptions &amp; Levers'!$C$5*1000000), 2)</f>
        <v/>
      </c>
      <c r="F9" s="17">
        <f>ROUND((F5*0.6564*46000*12+F5*0.3436*'Assumptions &amp; Levers'!$C$31*12)/('Assumptions &amp; Levers'!$C$5*1000000), 2)</f>
        <v/>
      </c>
      <c r="G9" s="17">
        <f>ROUND((G5*0.6564*46000*12+G5*0.3436*'Assumptions &amp; Levers'!$C$31*12)/('Assumptions &amp; Levers'!$C$5*1000000), 2)</f>
        <v/>
      </c>
      <c r="H9" s="17">
        <f>ROUND((H5*0.6564*46000*12+H5*0.3436*'Assumptions &amp; Levers'!$C$31*12)/('Assumptions &amp; Levers'!$C$5*1000000), 2)</f>
        <v/>
      </c>
      <c r="I9" s="17">
        <f>ROUND((I5*0.6564*46000*12+I5*0.3436*'Assumptions &amp; Levers'!$C$31*12)/('Assumptions &amp; Levers'!$C$5*1000000), 2)</f>
        <v/>
      </c>
      <c r="J9" s="17">
        <f>ROUND((J5*0.6564*46000*12+J5*0.3436*'Assumptions &amp; Levers'!$C$31*12)/('Assumptions &amp; Levers'!$C$5*1000000), 2)</f>
        <v/>
      </c>
      <c r="K9" s="17">
        <f>ROUND((K5*0.6564*46000*12+K5*0.3436*'Assumptions &amp; Levers'!$C$31*12)/('Assumptions &amp; Levers'!$C$5*1000000), 2)</f>
        <v/>
      </c>
      <c r="L9" s="17">
        <f>ROUND((L5*0.6564*46000*12+L5*0.3436*'Assumptions &amp; Levers'!$C$31*12)/('Assumptions &amp; Levers'!$C$5*1000000), 2)</f>
        <v/>
      </c>
      <c r="M9" s="17">
        <f>ROUND((M5*0.6564*46000*12+M5*0.3436*'Assumptions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ROUND(D5*(120000/'Assumptions &amp; Levers'!$C$5)*12/1000000, 2)</f>
        <v/>
      </c>
      <c r="E10" s="17">
        <f>ROUND(E5*(120000/'Assumptions &amp; Levers'!$C$5)*12/1000000, 2)</f>
        <v/>
      </c>
      <c r="F10" s="17">
        <f>ROUND(F5*(120000/'Assumptions &amp; Levers'!$C$5)*12/1000000, 2)</f>
        <v/>
      </c>
      <c r="G10" s="17">
        <f>ROUND(G5*(120000/'Assumptions &amp; Levers'!$C$5)*12/1000000, 2)</f>
        <v/>
      </c>
      <c r="H10" s="17">
        <f>ROUND(H5*(120000/'Assumptions &amp; Levers'!$C$5)*12/1000000, 2)</f>
        <v/>
      </c>
      <c r="I10" s="17">
        <f>ROUND(I5*(120000/'Assumptions &amp; Levers'!$C$5)*12/1000000, 2)</f>
        <v/>
      </c>
      <c r="J10" s="17">
        <f>ROUND(J5*(120000/'Assumptions &amp; Levers'!$C$5)*12/1000000, 2)</f>
        <v/>
      </c>
      <c r="K10" s="17">
        <f>ROUND(K5*(120000/'Assumptions &amp; Levers'!$C$5)*12/1000000, 2)</f>
        <v/>
      </c>
      <c r="L10" s="17">
        <f>ROUND(L5*(120000/'Assumptions &amp; Levers'!$C$5)*12/1000000, 2)</f>
        <v/>
      </c>
      <c r="M10" s="17">
        <f>ROUND(M5*(120000/'Assumptions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Own-Site Monopole Build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Levers'!$C$10*'Assumptions &amp; Levers'!$C$35*'Assumptions &amp; Levers'!$C$37/('Assumptions &amp; Levers'!$C$5*1000000), 2)</f>
        <v/>
      </c>
      <c r="E14" s="17">
        <f>ROUND('Assumptions &amp; Levers'!$C$11*'Assumptions &amp; Levers'!$C$35*'Assumptions &amp; Levers'!$C$37/('Assumptions &amp; Levers'!$C$5*1000000), 2)</f>
        <v/>
      </c>
      <c r="F14" s="17">
        <f>ROUND('Assumptions &amp; Levers'!$C$11*'Assumptions &amp; Levers'!$C$35*'Assumptions &amp; Levers'!$C$37/('Assumptions &amp; Levers'!$C$5*1000000), 2)</f>
        <v/>
      </c>
      <c r="G14" s="17">
        <f>ROUND('Assumptions &amp; Levers'!$C$11*'Assumptions &amp; Levers'!$C$35*'Assumptions &amp; Levers'!$C$37/('Assumptions &amp; Levers'!$C$5*1000000), 2)</f>
        <v/>
      </c>
      <c r="H14" s="17">
        <f>ROUND('Assumptions &amp; Levers'!$C$11*'Assumptions &amp; Levers'!$C$35*'Assumptions &amp; Levers'!$C$37/('Assumptions &amp; Levers'!$C$5*1000000),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Audited Transmission CAPEX ($M)</t>
        </is>
      </c>
      <c r="B15" s="7" t="inlineStr">
        <is>
          <t>CAPEX</t>
        </is>
      </c>
      <c r="C15" s="16">
        <f>SUM(D15:M15)</f>
        <v/>
      </c>
      <c r="D15" s="17">
        <f>ROUND('Assumptions &amp; Levers'!$C$11*(0.6564*'Assumptions &amp; Levers'!$C$25+0.3436*'Assumptions &amp; Levers'!$C$27)/1000000, 2)</f>
        <v/>
      </c>
      <c r="E15" s="17">
        <f>ROUND('Assumptions &amp; Levers'!$C$11*(0.6564*'Assumptions &amp; Levers'!$C$25+0.3436*'Assumptions &amp; Levers'!$C$27)/1000000, 2)</f>
        <v/>
      </c>
      <c r="F15" s="17">
        <f>ROUND('Assumptions &amp; Levers'!$C$11*(0.6564*'Assumptions &amp; Levers'!$C$25+0.3436*'Assumptions &amp; Levers'!$C$27)/1000000, 2)</f>
        <v/>
      </c>
      <c r="G15" s="17">
        <f>ROUND('Assumptions &amp; Levers'!$C$11*(0.6564*'Assumptions &amp; Levers'!$C$25+0.3436*'Assumptions &amp; Levers'!$C$27)/1000000, 2)</f>
        <v/>
      </c>
      <c r="H15" s="17">
        <f>ROUND('Assumptions &amp; Levers'!$C$11*(0.6564*'Assumptions &amp; Levers'!$C$25+0.3436*'Assumptions &amp; Levers'!$C$27)/1000000, 2)</f>
        <v/>
      </c>
      <c r="I15" s="17" t="n">
        <v>0</v>
      </c>
      <c r="J15" s="17" t="n">
        <v>0</v>
      </c>
      <c r="K15" s="17" t="n">
        <v>0</v>
      </c>
      <c r="L15" s="17" t="n">
        <v>0</v>
      </c>
      <c r="M15" s="17" t="n">
        <v>0</v>
      </c>
    </row>
    <row r="16">
      <c r="A16" s="5" t="inlineStr">
        <is>
          <t>CPE Device CAPEX ($M)</t>
        </is>
      </c>
      <c r="B16" s="7" t="inlineStr">
        <is>
          <t>CAPEX</t>
        </is>
      </c>
      <c r="C16" s="16">
        <f>SUM(D16:M16)</f>
        <v/>
      </c>
      <c r="D16" s="17">
        <f>ROUND(D6*'Assumptions &amp; Levers'!$C$23/1000000, 2)</f>
        <v/>
      </c>
      <c r="E16" s="17">
        <f>ROUND((E6-D6)*'Assumptions &amp; Levers'!$C$23/1000000, 2)</f>
        <v/>
      </c>
      <c r="F16" s="17">
        <f>ROUND((F6-E6)*'Assumptions &amp; Levers'!$C$23/1000000, 2)</f>
        <v/>
      </c>
      <c r="G16" s="17">
        <f>ROUND((G6-F6)*'Assumptions &amp; Levers'!$C$23/1000000, 2)</f>
        <v/>
      </c>
      <c r="H16" s="17">
        <f>ROUND((H6-G6)*'Assumptions &amp; Levers'!$C$23/1000000, 2)</f>
        <v/>
      </c>
      <c r="I16" s="17">
        <f>ROUND((I6-H6)*'Assumptions &amp; Levers'!$C$23/1000000, 2)</f>
        <v/>
      </c>
      <c r="J16" s="17">
        <f>ROUND((J6-I6)*'Assumptions &amp; Levers'!$C$23/1000000, 2)</f>
        <v/>
      </c>
      <c r="K16" s="17">
        <f>ROUND((K6-J6)*'Assumptions &amp; Levers'!$C$23/1000000, 2)</f>
        <v/>
      </c>
      <c r="L16" s="17">
        <f>ROUND((L6-K6)*'Assumptions &amp; Levers'!$C$23/1000000, 2)</f>
        <v/>
      </c>
      <c r="M16" s="17">
        <f>ROUND((M6-L6)*'Assumptions &amp; Levers'!$C$23/1000000, 2)</f>
        <v/>
      </c>
    </row>
    <row r="17">
      <c r="A17" s="5" t="inlineStr">
        <is>
          <t>Total Capital Expenditure ($M)</t>
        </is>
      </c>
      <c r="B17" s="7" t="inlineStr">
        <is>
          <t>CAPEX</t>
        </is>
      </c>
      <c r="C17" s="16">
        <f>SUM(D17:M17)</f>
        <v/>
      </c>
      <c r="D17" s="17">
        <f>SUM(D13:D16)</f>
        <v/>
      </c>
      <c r="E17" s="17">
        <f>SUM(E13:E16)</f>
        <v/>
      </c>
      <c r="F17" s="17">
        <f>SUM(F13:F16)</f>
        <v/>
      </c>
      <c r="G17" s="17">
        <f>SUM(G13:G16)</f>
        <v/>
      </c>
      <c r="H17" s="17">
        <f>SUM(H13:H16)</f>
        <v/>
      </c>
      <c r="I17" s="17">
        <f>SUM(I13:I16)</f>
        <v/>
      </c>
      <c r="J17" s="17">
        <f>SUM(J13:J16)</f>
        <v/>
      </c>
      <c r="K17" s="17">
        <f>SUM(K13:K16)</f>
        <v/>
      </c>
      <c r="L17" s="17">
        <f>SUM(L13:L16)</f>
        <v/>
      </c>
      <c r="M17" s="17">
        <f>SUM(M13:M16)</f>
        <v/>
      </c>
    </row>
    <row r="18">
      <c r="A18" s="19" t="inlineStr">
        <is>
          <t>Free Cash Flow ($M)</t>
        </is>
      </c>
      <c r="B18" s="20" t="inlineStr">
        <is>
          <t>Cash Flow</t>
        </is>
      </c>
      <c r="C18" s="21">
        <f>SUM(D18:M18)</f>
        <v/>
      </c>
      <c r="D18" s="22">
        <f>D12-D17</f>
        <v/>
      </c>
      <c r="E18" s="22">
        <f>E12-E17</f>
        <v/>
      </c>
      <c r="F18" s="22">
        <f>F12-F17</f>
        <v/>
      </c>
      <c r="G18" s="22">
        <f>G12-G17</f>
        <v/>
      </c>
      <c r="H18" s="22">
        <f>H12-H17</f>
        <v/>
      </c>
      <c r="I18" s="22">
        <f>I12-I17</f>
        <v/>
      </c>
      <c r="J18" s="22">
        <f>J12-J17</f>
        <v/>
      </c>
      <c r="K18" s="22">
        <f>K12-K17</f>
        <v/>
      </c>
      <c r="L18" s="22">
        <f>L12-L17</f>
        <v/>
      </c>
      <c r="M18" s="22">
        <f>M12-M17</f>
        <v/>
      </c>
    </row>
    <row r="19">
      <c r="A19" s="19" t="inlineStr">
        <is>
          <t>Cumulative Free Cash Flow ($M)</t>
        </is>
      </c>
      <c r="B19" s="20" t="inlineStr">
        <is>
          <t>Cash Flow</t>
        </is>
      </c>
      <c r="C19" s="21">
        <f>M18</f>
        <v/>
      </c>
      <c r="D19" s="22">
        <f>D18</f>
        <v/>
      </c>
      <c r="E19" s="22">
        <f>D19+E18</f>
        <v/>
      </c>
      <c r="F19" s="22">
        <f>E19+F18</f>
        <v/>
      </c>
      <c r="G19" s="22">
        <f>F19+G18</f>
        <v/>
      </c>
      <c r="H19" s="22">
        <f>G19+H18</f>
        <v/>
      </c>
      <c r="I19" s="22">
        <f>H19+I18</f>
        <v/>
      </c>
      <c r="J19" s="22">
        <f>I19+J18</f>
        <v/>
      </c>
      <c r="K19" s="22">
        <f>J19+K18</f>
        <v/>
      </c>
      <c r="L19" s="22">
        <f>K19+L18</f>
        <v/>
      </c>
      <c r="M19" s="22">
        <f>L19+M18</f>
        <v/>
      </c>
    </row>
    <row r="20"/>
    <row r="21">
      <c r="A21" s="23" t="inlineStr">
        <is>
          <t>EXECUTIVE VALUATION &amp; RETURN METRICS</t>
        </is>
      </c>
    </row>
    <row r="22">
      <c r="A22" s="4" t="inlineStr">
        <is>
          <t>Project 10-Yr NPV (@ 12% WACC)</t>
        </is>
      </c>
      <c r="B22" s="24">
        <f>NPV('Assumptions &amp; Levers'!$C$6, D18:M18)</f>
        <v/>
      </c>
      <c r="C22" s="8" t="inlineStr">
        <is>
          <t>Discounted cumulative cash return</t>
        </is>
      </c>
    </row>
    <row r="23">
      <c r="A23" s="4" t="inlineStr">
        <is>
          <t>Unlevered Project IRR (%)</t>
        </is>
      </c>
      <c r="B23" s="9">
        <f>IRR(D18:M18)</f>
        <v/>
      </c>
      <c r="C23" s="8" t="inlineStr">
        <is>
          <t>Internal rate of return across 10 years</t>
        </is>
      </c>
    </row>
    <row r="24">
      <c r="A24" s="4" t="inlineStr">
        <is>
          <t>Simple Payback Period</t>
        </is>
      </c>
      <c r="B24" s="25">
        <f>IF(M19&lt;0, "No Payback (&gt;10 Yrs)", TEXT(ROUND(COUNTIF(D19:M19, "&lt;0") + ABS(INDEX(D19:M19, 1, COUNTIF(D19:M19, "&lt;0"))) / INDEX(D18:M18, 1, COUNTIF(D19:M19, "&lt;0") + 1), 1), "0.0") &amp; " Years")</f>
        <v/>
      </c>
      <c r="C24" s="8" t="inlineStr">
        <is>
          <t>Time to recover cumulative initial capital</t>
        </is>
      </c>
    </row>
    <row r="25">
      <c r="A25" s="4" t="inlineStr">
        <is>
          <t>Peak Capital Funding Required</t>
        </is>
      </c>
      <c r="B25" s="24">
        <f>ABS(MIN(0, MIN(D19:M19)))</f>
        <v/>
      </c>
      <c r="C25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Combined Hybrid Dual Optimization (Rev 2 Audited)</dc:title>
  <dcterms:created xsi:type="dcterms:W3CDTF">2026-10-05T08:16:52Z</dcterms:created>
  <dcterms:modified xsi:type="dcterms:W3CDTF">2026-10-05T08:16:52Z</dcterms:modified>
  <cp:lastModifiedBy>OLIVER TUNGOL</cp:lastModifiedBy>
</cp:coreProperties>
</file>