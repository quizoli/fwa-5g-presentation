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67" customWidth="1" min="5" max="5"/>
  </cols>
  <sheetData>
    <row r="1">
      <c r="A1" s="1" t="inlineStr">
        <is>
          <t>FWA 5G n50 (100 MHz) — DICT / UNDP GIDA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1357667</v>
      </c>
      <c r="D13" s="7" t="inlineStr">
        <is>
          <t>subs</t>
        </is>
      </c>
      <c r="E13" s="8" t="inlineStr">
        <is>
          <t>Sum of target households @ 30% take-rate across DICT / UNDP GIDA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5554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189</v>
      </c>
      <c r="D15" s="7" t="inlineStr">
        <is>
          <t>sites</t>
        </is>
      </c>
      <c r="E15" s="8" t="inlineStr">
        <is>
          <t>Audited short node connections &lt;=1 km (18.9%)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89</v>
      </c>
      <c r="D16" s="7" t="inlineStr">
        <is>
          <t>sites</t>
        </is>
      </c>
      <c r="E16" s="8" t="inlineStr">
        <is>
          <t>Audited line taps &lt;=500m (8.9%)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191</v>
      </c>
      <c r="D17" s="7" t="inlineStr">
        <is>
          <t>sites</t>
        </is>
      </c>
      <c r="E17" s="8" t="inlineStr">
        <is>
          <t>Audited asset within 3 km (19.1%)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531</v>
      </c>
      <c r="D18" s="7" t="inlineStr">
        <is>
          <t>sites</t>
        </is>
      </c>
      <c r="E18" s="8" t="inlineStr">
        <is>
          <t>Remote candidate sites &gt;3 km (53.1%)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5" customWidth="1" min="2" max="2"/>
    <col width="54" customWidth="1" min="3" max="3"/>
    <col width="124" customWidth="1" min="4" max="4"/>
    <col width="124" customWidth="1" min="5" max="5"/>
    <col width="124" customWidth="1" min="6" max="6"/>
    <col width="124" customWidth="1" min="7" max="7"/>
    <col width="124" customWidth="1" min="8" max="8"/>
    <col width="114" customWidth="1" min="9" max="9"/>
    <col width="114" customWidth="1" min="10" max="10"/>
    <col width="114" customWidth="1" min="11" max="11"/>
    <col width="114" customWidth="1" min="12" max="12"/>
    <col width="114" customWidth="1" min="13" max="13"/>
  </cols>
  <sheetData>
    <row r="1">
      <c r="A1" s="1" t="inlineStr">
        <is>
          <t>10-Year Financial Feasibility &amp; Scenario Analysis — DICT / UNDP GIDA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Levers'!$C$10</f>
        <v/>
      </c>
      <c r="E5" s="15">
        <f>D5+'Assumptions &amp; Levers'!$C$11</f>
        <v/>
      </c>
      <c r="F5" s="15">
        <f>E5+'Assumptions &amp; Levers'!$C$11</f>
        <v/>
      </c>
      <c r="G5" s="15">
        <f>F5+'Assumptions &amp; Levers'!$C$11</f>
        <v/>
      </c>
      <c r="H5" s="15">
        <f>G5+'Assumptions &amp; Levers'!$C$11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120000</v>
      </c>
      <c r="E6" s="15" t="n">
        <v>300000</v>
      </c>
      <c r="F6" s="15" t="n">
        <v>550000</v>
      </c>
      <c r="G6" s="15" t="n">
        <v>850000</v>
      </c>
      <c r="H6" s="15" t="n">
        <v>1100000</v>
      </c>
      <c r="I6" s="15" t="n">
        <v>1200000</v>
      </c>
      <c r="J6" s="15" t="n">
        <v>1260000</v>
      </c>
      <c r="K6" s="15" t="n">
        <v>1300000</v>
      </c>
      <c r="L6" s="15" t="n">
        <v>1330000</v>
      </c>
      <c r="M6" s="15" t="n">
        <v>1358095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>
        <f>ROUND(D6*('Assumptions &amp; Levers'!$C$20/'Assumptions &amp; Levers'!$C$5)*12/1000000, 2)</f>
        <v/>
      </c>
      <c r="E7" s="17">
        <f>ROUND(E6*('Assumptions &amp; Levers'!$C$20/'Assumptions &amp; Levers'!$C$5)*12/1000000, 2)</f>
        <v/>
      </c>
      <c r="F7" s="17">
        <f>ROUND(F6*('Assumptions &amp; Levers'!$C$20/'Assumptions &amp; Levers'!$C$5)*12/1000000, 2)</f>
        <v/>
      </c>
      <c r="G7" s="17">
        <f>ROUND(G6*('Assumptions &amp; Levers'!$C$20/'Assumptions &amp; Levers'!$C$5)*12/1000000, 2)</f>
        <v/>
      </c>
      <c r="H7" s="17">
        <f>ROUND(H6*('Assumptions &amp; Levers'!$C$20/'Assumptions &amp; Levers'!$C$5)*12/1000000, 2)</f>
        <v/>
      </c>
      <c r="I7" s="17">
        <f>ROUND(I6*('Assumptions &amp; Levers'!$C$20/'Assumptions &amp; Levers'!$C$5)*12/1000000, 2)</f>
        <v/>
      </c>
      <c r="J7" s="17">
        <f>ROUND(J6*('Assumptions &amp; Levers'!$C$20/'Assumptions &amp; Levers'!$C$5)*12/1000000, 2)</f>
        <v/>
      </c>
      <c r="K7" s="17">
        <f>ROUND(K6*('Assumptions &amp; Levers'!$C$20/'Assumptions &amp; Levers'!$C$5)*12/1000000, 2)</f>
        <v/>
      </c>
      <c r="L7" s="17">
        <f>ROUND(L6*('Assumptions &amp; Levers'!$C$20/'Assumptions &amp; Levers'!$C$5)*12/1000000, 2)</f>
        <v/>
      </c>
      <c r="M7" s="17">
        <f>ROUND(M6*('Assumptions &amp; Levers'!$C$20/'Assumptions &amp; Levers'!$C$5)*12/1000000, 2)</f>
        <v/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>
        <f>ROUND(D5*('Assumptions &amp; Levers'!$C$32/'Assumptions &amp; Levers'!$C$5)*12/1000000, 2)</f>
        <v/>
      </c>
      <c r="E8" s="17">
        <f>ROUND(E5*('Assumptions &amp; Levers'!$C$32/'Assumptions &amp; Levers'!$C$5)*12/1000000, 2)</f>
        <v/>
      </c>
      <c r="F8" s="17">
        <f>ROUND(F5*('Assumptions &amp; Levers'!$C$32/'Assumptions &amp; Levers'!$C$5)*12/1000000, 2)</f>
        <v/>
      </c>
      <c r="G8" s="17">
        <f>ROUND(G5*('Assumptions &amp; Levers'!$C$32/'Assumptions &amp; Levers'!$C$5)*12/1000000, 2)</f>
        <v/>
      </c>
      <c r="H8" s="17">
        <f>ROUND(H5*('Assumptions &amp; Levers'!$C$32/'Assumptions &amp; Levers'!$C$5)*12/1000000, 2)</f>
        <v/>
      </c>
      <c r="I8" s="17">
        <f>ROUND(I5*('Assumptions &amp; Levers'!$C$32/'Assumptions &amp; Levers'!$C$5)*12/1000000, 2)</f>
        <v/>
      </c>
      <c r="J8" s="17">
        <f>ROUND(J5*('Assumptions &amp; Levers'!$C$32/'Assumptions &amp; Levers'!$C$5)*12/1000000, 2)</f>
        <v/>
      </c>
      <c r="K8" s="17">
        <f>ROUND(K5*('Assumptions &amp; Levers'!$C$32/'Assumptions &amp; Levers'!$C$5)*12/1000000, 2)</f>
        <v/>
      </c>
      <c r="L8" s="17">
        <f>ROUND(L5*('Assumptions &amp; Levers'!$C$32/'Assumptions &amp; Levers'!$C$5)*12/1000000, 2)</f>
        <v/>
      </c>
      <c r="M8" s="17">
        <f>ROUND(M5*('Assumptions &amp; Levers'!$C$32/'Assumptions &amp; Levers'!$C$5)*12/1000000, 2)</f>
        <v/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>
        <f>ROUND((D5*0.5646*46000*12+D5*0.4354*'Assumptions &amp; Levers'!$C$31*12)/('Assumptions &amp; Levers'!$C$5*1000000), 2)</f>
        <v/>
      </c>
      <c r="E9" s="17">
        <f>ROUND((E5*0.5646*46000*12+E5*0.4354*'Assumptions &amp; Levers'!$C$31*12)/('Assumptions &amp; Levers'!$C$5*1000000), 2)</f>
        <v/>
      </c>
      <c r="F9" s="17">
        <f>ROUND((F5*0.5646*46000*12+F5*0.4354*'Assumptions &amp; Levers'!$C$31*12)/('Assumptions &amp; Levers'!$C$5*1000000), 2)</f>
        <v/>
      </c>
      <c r="G9" s="17">
        <f>ROUND((G5*0.5646*46000*12+G5*0.4354*'Assumptions &amp; Levers'!$C$31*12)/('Assumptions &amp; Levers'!$C$5*1000000), 2)</f>
        <v/>
      </c>
      <c r="H9" s="17">
        <f>ROUND((H5*0.5646*46000*12+H5*0.4354*'Assumptions &amp; Levers'!$C$31*12)/('Assumptions &amp; Levers'!$C$5*1000000), 2)</f>
        <v/>
      </c>
      <c r="I9" s="17">
        <f>ROUND((I5*0.5646*46000*12+I5*0.4354*'Assumptions &amp; Levers'!$C$31*12)/('Assumptions &amp; Levers'!$C$5*1000000), 2)</f>
        <v/>
      </c>
      <c r="J9" s="17">
        <f>ROUND((J5*0.5646*46000*12+J5*0.4354*'Assumptions &amp; Levers'!$C$31*12)/('Assumptions &amp; Levers'!$C$5*1000000), 2)</f>
        <v/>
      </c>
      <c r="K9" s="17">
        <f>ROUND((K5*0.5646*46000*12+K5*0.4354*'Assumptions &amp; Levers'!$C$31*12)/('Assumptions &amp; Levers'!$C$5*1000000), 2)</f>
        <v/>
      </c>
      <c r="L9" s="17">
        <f>ROUND((L5*0.5646*46000*12+L5*0.4354*'Assumptions &amp; Levers'!$C$31*12)/('Assumptions &amp; Levers'!$C$5*1000000), 2)</f>
        <v/>
      </c>
      <c r="M9" s="17">
        <f>ROUND((M5*0.5646*46000*12+M5*0.4354*'Assumptions &amp; Levers'!$C$31*12)/('Assumptions &amp; Levers'!$C$5*1000000), 2)</f>
        <v/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>
        <f>ROUND(D5*('Assumptions &amp; Levers'!$C$32/'Assumptions &amp; Levers'!$C$5)*12/1000000, 2)</f>
        <v/>
      </c>
      <c r="E10" s="17">
        <f>ROUND(E5*('Assumptions &amp; Levers'!$C$32/'Assumptions &amp; Levers'!$C$5)*12/1000000, 2)</f>
        <v/>
      </c>
      <c r="F10" s="17">
        <f>ROUND(F5*('Assumptions &amp; Levers'!$C$32/'Assumptions &amp; Levers'!$C$5)*12/1000000, 2)</f>
        <v/>
      </c>
      <c r="G10" s="17">
        <f>ROUND(G5*('Assumptions &amp; Levers'!$C$32/'Assumptions &amp; Levers'!$C$5)*12/1000000, 2)</f>
        <v/>
      </c>
      <c r="H10" s="17">
        <f>ROUND(H5*('Assumptions &amp; Levers'!$C$32/'Assumptions &amp; Levers'!$C$5)*12/1000000, 2)</f>
        <v/>
      </c>
      <c r="I10" s="17">
        <f>ROUND(I5*('Assumptions &amp; Levers'!$C$32/'Assumptions &amp; Levers'!$C$5)*12/1000000, 2)</f>
        <v/>
      </c>
      <c r="J10" s="17">
        <f>ROUND(J5*('Assumptions &amp; Levers'!$C$32/'Assumptions &amp; Levers'!$C$5)*12/1000000, 2)</f>
        <v/>
      </c>
      <c r="K10" s="17">
        <f>ROUND(K5*('Assumptions &amp; Levers'!$C$32/'Assumptions &amp; Levers'!$C$5)*12/1000000, 2)</f>
        <v/>
      </c>
      <c r="L10" s="17">
        <f>ROUND(L5*('Assumptions &amp; Levers'!$C$32/'Assumptions &amp; Levers'!$C$5)*12/1000000, 2)</f>
        <v/>
      </c>
      <c r="M10" s="17">
        <f>ROUND(M5*('Assumptions &amp; Levers'!$C$32/'Assumptions &amp; Levers'!$C$5)*12/1000000, 2)</f>
        <v/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>
        <f>ROUND('Assumptions &amp; Levers'!$C$10*('Assumptions &amp; Levers'!$C$21+'Assumptions &amp; Levers'!$C$22)/1000000, 2)</f>
        <v/>
      </c>
      <c r="E13" s="17">
        <f>ROUND('Assumptions &amp; Levers'!$C$11*('Assumptions &amp; Levers'!$C$21+'Assumptions &amp; Levers'!$C$22)/1000000, 2)</f>
        <v/>
      </c>
      <c r="F13" s="17">
        <f>ROUND('Assumptions &amp; Levers'!$C$11*('Assumptions &amp; Levers'!$C$21+'Assumptions &amp; Levers'!$C$22)/1000000, 2)</f>
        <v/>
      </c>
      <c r="G13" s="17">
        <f>ROUND('Assumptions &amp; Levers'!$C$11*('Assumptions &amp; Levers'!$C$21+'Assumptions &amp; Levers'!$C$22)/1000000, 2)</f>
        <v/>
      </c>
      <c r="H13" s="17">
        <f>ROUND('Assumptions &amp; Levers'!$C$11*('Assumptions &amp; Levers'!$C$21+'Assumptions &amp; Levers'!$C$22)/1000000, 2)</f>
        <v/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>
        <f>ROUND('Assumptions &amp; Levers'!$C$11*(0.5646*'Assumptions &amp; Levers'!$C$25+0.4354*'Assumptions &amp; Levers'!$C$27)/1000000, 2)</f>
        <v/>
      </c>
      <c r="E14" s="17">
        <f>ROUND('Assumptions &amp; Levers'!$C$11*(0.5646*'Assumptions &amp; Levers'!$C$25+0.4354*'Assumptions &amp; Levers'!$C$27)/1000000, 2)</f>
        <v/>
      </c>
      <c r="F14" s="17">
        <f>ROUND('Assumptions &amp; Levers'!$C$11*(0.5646*'Assumptions &amp; Levers'!$C$25+0.4354*'Assumptions &amp; Levers'!$C$27)/1000000, 2)</f>
        <v/>
      </c>
      <c r="G14" s="17">
        <f>ROUND('Assumptions &amp; Levers'!$C$11*(0.5646*'Assumptions &amp; Levers'!$C$25+0.4354*'Assumptions &amp; Levers'!$C$27)/1000000, 2)</f>
        <v/>
      </c>
      <c r="H14" s="17">
        <f>ROUND('Assumptions &amp; Levers'!$C$11*(0.5646*'Assumptions &amp; Levers'!$C$25+0.4354*'Assumptions &amp; Levers'!$C$27)/1000000, 2)</f>
        <v/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>
        <f>ROUND(D6*'Assumptions &amp; Levers'!$C$23/1000000, 2)</f>
        <v/>
      </c>
      <c r="E15" s="17">
        <f>ROUND((E6-D6)*'Assumptions &amp; Levers'!$C$23/1000000, 2)</f>
        <v/>
      </c>
      <c r="F15" s="17">
        <f>ROUND((F6-E6)*'Assumptions &amp; Levers'!$C$23/1000000, 2)</f>
        <v/>
      </c>
      <c r="G15" s="17">
        <f>ROUND((G6-F6)*'Assumptions &amp; Levers'!$C$23/1000000, 2)</f>
        <v/>
      </c>
      <c r="H15" s="17">
        <f>ROUND((H6-G6)*'Assumptions &amp; Levers'!$C$23/1000000, 2)</f>
        <v/>
      </c>
      <c r="I15" s="17">
        <f>ROUND((I6-H6)*'Assumptions &amp; Levers'!$C$23/1000000, 2)</f>
        <v/>
      </c>
      <c r="J15" s="17">
        <f>ROUND((J6-I6)*'Assumptions &amp; Levers'!$C$23/1000000, 2)</f>
        <v/>
      </c>
      <c r="K15" s="17">
        <f>ROUND((K6-J6)*'Assumptions &amp; Levers'!$C$23/1000000, 2)</f>
        <v/>
      </c>
      <c r="L15" s="17">
        <f>ROUND((L6-K6)*'Assumptions &amp; Levers'!$C$23/1000000, 2)</f>
        <v/>
      </c>
      <c r="M15" s="17">
        <f>ROUND((M6-L6)*'Assumptions &amp; Levers'!$C$23/1000000, 2)</f>
        <v/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18">
      <c r="A18" s="19" t="inlineStr">
        <is>
          <t>Cumulative Free Cash Flow ($M)</t>
        </is>
      </c>
      <c r="B18" s="20" t="inlineStr">
        <is>
          <t>Cash Flow</t>
        </is>
      </c>
      <c r="C18" s="21">
        <f>M18</f>
        <v/>
      </c>
      <c r="D18" s="22">
        <f>D17</f>
        <v/>
      </c>
      <c r="E18" s="22">
        <f>D18+E17</f>
        <v/>
      </c>
      <c r="F18" s="22">
        <f>E18+F17</f>
        <v/>
      </c>
      <c r="G18" s="22">
        <f>F18+G17</f>
        <v/>
      </c>
      <c r="H18" s="22">
        <f>G18+H17</f>
        <v/>
      </c>
      <c r="I18" s="22">
        <f>H18+I17</f>
        <v/>
      </c>
      <c r="J18" s="22">
        <f>I18+J17</f>
        <v/>
      </c>
      <c r="K18" s="22">
        <f>J18+K17</f>
        <v/>
      </c>
      <c r="L18" s="22">
        <f>K18+L17</f>
        <v/>
      </c>
      <c r="M18" s="22">
        <f>L18+M17</f>
        <v/>
      </c>
    </row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NPV('Assumptions &amp; Levers'!$C$6,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No Payback (&gt;10 Yrs)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ABS(MIN(0, MIN(D18:M18)))</f>
        <v/>
      </c>
      <c r="C24" s="8" t="inlineStr">
        <is>
          <t>Maximum cumulative cash deficit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DICT / UNDP GIDA (Rev 2 Audited)</dc:title>
  <dcterms:created xsi:type="dcterms:W3CDTF">2026-09-28T05:16:19Z</dcterms:created>
  <dcterms:modified xsi:type="dcterms:W3CDTF">2026-09-28T05:16:19Z</dcterms:modified>
  <cp:lastModifiedBy>OLIVER TUNGOL</cp:lastModifiedBy>
</cp:coreProperties>
</file>