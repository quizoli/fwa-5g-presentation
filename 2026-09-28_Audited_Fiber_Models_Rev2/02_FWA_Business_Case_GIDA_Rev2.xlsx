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&amp; Levers" sheetId="1" state="visible" r:id="rId1"/>
    <sheet name="10-Year Cash Flow &amp;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$#,##0"/>
    <numFmt numFmtId="167" formatCode="$#,##0.00"/>
    <numFmt numFmtId="168" formatCode="$#,##0.0"/>
    <numFmt numFmtId="169" formatCode="$#,##0.0M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4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168" fontId="4" fillId="0" borderId="2" applyAlignment="1" pivotButton="0" quotePrefix="0" xfId="0">
      <alignment horizontal="right"/>
    </xf>
    <xf numFmtId="168" fontId="4" fillId="5" borderId="2" applyAlignment="1" pivotButton="0" quotePrefix="0" xfId="0">
      <alignment horizontal="right"/>
    </xf>
    <xf numFmtId="0" fontId="4" fillId="0" borderId="0" pivotButton="0" quotePrefix="0" xfId="0"/>
    <xf numFmtId="169" fontId="4" fillId="3" borderId="1" applyAlignment="1" pivotButton="0" quotePrefix="0" xfId="0">
      <alignment horizontal="right"/>
    </xf>
    <xf numFmtId="4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47" customWidth="1" min="2" max="2"/>
    <col width="16" customWidth="1" min="3" max="3"/>
    <col width="14" customWidth="1" min="4" max="4"/>
    <col width="71" customWidth="1" min="5" max="5"/>
  </cols>
  <sheetData>
    <row r="1">
      <c r="A1" s="1" t="inlineStr">
        <is>
          <t>FWA 5G n50 (60 MHz) — DICT / UNDP GIDA Financial Model (Revision 2 Audited)</t>
        </is>
      </c>
    </row>
    <row r="2">
      <c r="A2" s="2" t="inlineStr">
        <is>
          <t>Source of Truth: Siting demographics &amp; audited fiber transmission screening. Author: OLIVER TUNGOL</t>
        </is>
      </c>
    </row>
    <row r="3"/>
    <row r="4">
      <c r="A4" s="3" t="inlineStr">
        <is>
          <t>Category</t>
        </is>
      </c>
      <c r="B4" s="3" t="inlineStr">
        <is>
          <t>Assumption / Parameter</t>
        </is>
      </c>
      <c r="C4" s="3" t="inlineStr">
        <is>
          <t>Default Value</t>
        </is>
      </c>
      <c r="D4" s="3" t="inlineStr">
        <is>
          <t>Unit</t>
        </is>
      </c>
      <c r="E4" s="3" t="inlineStr">
        <is>
          <t>Source Reference / Engineering Rationale</t>
        </is>
      </c>
    </row>
    <row r="5">
      <c r="A5" s="4" t="inlineStr">
        <is>
          <t>Global Financials</t>
        </is>
      </c>
      <c r="B5" s="5" t="inlineStr">
        <is>
          <t>Exchange Rate (PHP/USD)</t>
        </is>
      </c>
      <c r="C5" s="6" t="n">
        <v>55</v>
      </c>
      <c r="D5" s="7" t="inlineStr">
        <is>
          <t>PHP/USD</t>
        </is>
      </c>
      <c r="E5" s="8" t="inlineStr">
        <is>
          <t>Baseline FX rate (test 55 to 65)</t>
        </is>
      </c>
    </row>
    <row r="6">
      <c r="A6" s="4" t="inlineStr">
        <is>
          <t>Global Financials</t>
        </is>
      </c>
      <c r="B6" s="5" t="inlineStr">
        <is>
          <t>Discount Rate / WACC</t>
        </is>
      </c>
      <c r="C6" s="9" t="n">
        <v>0.12</v>
      </c>
      <c r="D6" s="7" t="inlineStr">
        <is>
          <t>%</t>
        </is>
      </c>
      <c r="E6" s="8" t="inlineStr">
        <is>
          <t>Nominal Weighted Average Cost of Capital</t>
        </is>
      </c>
    </row>
    <row r="7">
      <c r="A7" s="4" t="inlineStr">
        <is>
          <t>Global Financials</t>
        </is>
      </c>
      <c r="B7" s="5" t="inlineStr">
        <is>
          <t>Corporate Income Tax Rate</t>
        </is>
      </c>
      <c r="C7" s="9" t="n">
        <v>0.25</v>
      </c>
      <c r="D7" s="7" t="inlineStr">
        <is>
          <t>%</t>
        </is>
      </c>
      <c r="E7" s="8" t="inlineStr">
        <is>
          <t>Philippine CREATE Act corporate tax rate</t>
        </is>
      </c>
    </row>
    <row r="8">
      <c r="A8" s="4" t="inlineStr">
        <is>
          <t>Global Financials</t>
        </is>
      </c>
      <c r="B8" s="5" t="inlineStr">
        <is>
          <t>Annual Cost Inflation</t>
        </is>
      </c>
      <c r="C8" s="9" t="n">
        <v>0.05</v>
      </c>
      <c r="D8" s="7" t="inlineStr">
        <is>
          <t>% p.a.</t>
        </is>
      </c>
      <c r="E8" s="8" t="inlineStr">
        <is>
          <t>Annual escalation for ongoing OPEX</t>
        </is>
      </c>
    </row>
    <row r="9">
      <c r="A9" s="4" t="inlineStr">
        <is>
          <t>Global Financials</t>
        </is>
      </c>
      <c r="B9" s="5" t="inlineStr">
        <is>
          <t>Modeling Horizon</t>
        </is>
      </c>
      <c r="C9" s="10" t="n">
        <v>10</v>
      </c>
      <c r="D9" s="7" t="inlineStr">
        <is>
          <t>years</t>
        </is>
      </c>
      <c r="E9" s="8" t="inlineStr">
        <is>
          <t>10-year full deployment lifecycle</t>
        </is>
      </c>
    </row>
    <row r="10">
      <c r="A10" s="4" t="inlineStr">
        <is>
          <t>Deployment &amp; Scale</t>
        </is>
      </c>
      <c r="B10" s="5" t="inlineStr">
        <is>
          <t>Day-1 Sites Deployed (Year 1)</t>
        </is>
      </c>
      <c r="C10" s="11" t="n">
        <v>1000</v>
      </c>
      <c r="D10" s="7" t="inlineStr">
        <is>
          <t>sites</t>
        </is>
      </c>
      <c r="E10" s="8" t="inlineStr">
        <is>
          <t>Phase 1 priority rollout footprint</t>
        </is>
      </c>
    </row>
    <row r="11">
      <c r="A11" s="4" t="inlineStr">
        <is>
          <t>Deployment &amp; Scale</t>
        </is>
      </c>
      <c r="B11" s="5" t="inlineStr">
        <is>
          <t>Sites Added per Year (Y2-Y5)</t>
        </is>
      </c>
      <c r="C11" s="11" t="n">
        <v>1000</v>
      </c>
      <c r="D11" s="7" t="inlineStr">
        <is>
          <t>sites/yr</t>
        </is>
      </c>
      <c r="E11" s="8" t="inlineStr">
        <is>
          <t>Phased deployment scaling to 5,000 sites</t>
        </is>
      </c>
    </row>
    <row r="12">
      <c r="A12" s="4" t="inlineStr">
        <is>
          <t>Deployment &amp; Scale</t>
        </is>
      </c>
      <c r="B12" s="5" t="inlineStr">
        <is>
          <t>Total Program Footprint</t>
        </is>
      </c>
      <c r="C12" s="11" t="n">
        <v>5000</v>
      </c>
      <c r="D12" s="7" t="inlineStr">
        <is>
          <t>sites</t>
        </is>
      </c>
      <c r="E12" s="8" t="inlineStr">
        <is>
          <t>Total nationwide barangay footprint</t>
        </is>
      </c>
    </row>
    <row r="13">
      <c r="A13" s="4" t="inlineStr">
        <is>
          <t>Deployment &amp; Scale</t>
        </is>
      </c>
      <c r="B13" s="5" t="inlineStr">
        <is>
          <t>Total Addressable Subscribers (30%)</t>
        </is>
      </c>
      <c r="C13" s="11" t="n">
        <v>1357667</v>
      </c>
      <c r="D13" s="7" t="inlineStr">
        <is>
          <t>subs</t>
        </is>
      </c>
      <c r="E13" s="8" t="inlineStr">
        <is>
          <t>Sum of target households @ 30% take-rate across DICT / UNDP GIDA</t>
        </is>
      </c>
    </row>
    <row r="14">
      <c r="A14" s="4" t="inlineStr">
        <is>
          <t>Deployment &amp; Scale</t>
        </is>
      </c>
      <c r="B14" s="5" t="inlineStr">
        <is>
          <t>Peak Expansion BTS Required</t>
        </is>
      </c>
      <c r="C14" s="11" t="n">
        <v>5554</v>
      </c>
      <c r="D14" s="7" t="inlineStr">
        <is>
          <t>BTS</t>
        </is>
      </c>
      <c r="E14" s="8" t="inlineStr">
        <is>
          <t>@ 1,000 subs / 3-sector 8T8R BTS capacity limit</t>
        </is>
      </c>
    </row>
    <row r="15">
      <c r="A15" s="4" t="inlineStr">
        <is>
          <t>Transmission Mix (P1)</t>
        </is>
      </c>
      <c r="B15" s="5" t="inlineStr">
        <is>
          <t>Phase 1 Direct Node Drops (Class A/B)</t>
        </is>
      </c>
      <c r="C15" s="11" t="n">
        <v>189</v>
      </c>
      <c r="D15" s="7" t="inlineStr">
        <is>
          <t>sites</t>
        </is>
      </c>
      <c r="E15" s="8" t="inlineStr">
        <is>
          <t>Audited short node connections &lt;=1 km (18.9%)</t>
        </is>
      </c>
    </row>
    <row r="16">
      <c r="A16" s="4" t="inlineStr">
        <is>
          <t>Transmission Mix (P1)</t>
        </is>
      </c>
      <c r="B16" s="5" t="inlineStr">
        <is>
          <t>Phase 1 Splice Line-Taps (Class C)</t>
        </is>
      </c>
      <c r="C16" s="11" t="n">
        <v>89</v>
      </c>
      <c r="D16" s="7" t="inlineStr">
        <is>
          <t>sites</t>
        </is>
      </c>
      <c r="E16" s="8" t="inlineStr">
        <is>
          <t>Audited line taps &lt;=500m (8.9%)</t>
        </is>
      </c>
    </row>
    <row r="17">
      <c r="A17" s="4" t="inlineStr">
        <is>
          <t>Transmission Mix (P1)</t>
        </is>
      </c>
      <c r="B17" s="5" t="inlineStr">
        <is>
          <t>Phase 1 Lateral / Microwave (Class D)</t>
        </is>
      </c>
      <c r="C17" s="11" t="n">
        <v>191</v>
      </c>
      <c r="D17" s="7" t="inlineStr">
        <is>
          <t>sites</t>
        </is>
      </c>
      <c r="E17" s="8" t="inlineStr">
        <is>
          <t>Audited asset within 3 km (19.1%)</t>
        </is>
      </c>
    </row>
    <row r="18">
      <c r="A18" s="4" t="inlineStr">
        <is>
          <t>Transmission Mix (P1)</t>
        </is>
      </c>
      <c r="B18" s="5" t="inlineStr">
        <is>
          <t>Phase 1 Starlink LEO Satellite (Class E/F)</t>
        </is>
      </c>
      <c r="C18" s="11" t="n">
        <v>531</v>
      </c>
      <c r="D18" s="7" t="inlineStr">
        <is>
          <t>sites</t>
        </is>
      </c>
      <c r="E18" s="8" t="inlineStr">
        <is>
          <t>Remote candidate sites &gt;3 km (53.1%)</t>
        </is>
      </c>
    </row>
    <row r="19">
      <c r="A19" s="4" t="inlineStr">
        <is>
          <t>Commercial &amp; ARPU</t>
        </is>
      </c>
      <c r="B19" s="5" t="inlineStr">
        <is>
          <t>Base Single Subscriber Retail Rate</t>
        </is>
      </c>
      <c r="C19" s="11" t="n">
        <v>599</v>
      </c>
      <c r="D19" s="7" t="inlineStr">
        <is>
          <t>PHP / month</t>
        </is>
      </c>
      <c r="E19" s="8" t="inlineStr">
        <is>
          <t>Mass-market fixed wireless monthly subscription</t>
        </is>
      </c>
    </row>
    <row r="20">
      <c r="A20" s="4" t="inlineStr">
        <is>
          <t>Commercial &amp; ARPU</t>
        </is>
      </c>
      <c r="B20" s="5" t="inlineStr">
        <is>
          <t>Effective Blended ARPU</t>
        </is>
      </c>
      <c r="C20" s="11" t="n">
        <v>699</v>
      </c>
      <c r="D20" s="7" t="inlineStr">
        <is>
          <t>PHP / month</t>
        </is>
      </c>
      <c r="E20" s="8" t="inlineStr">
        <is>
          <t>Blended ₱699/mo (50% @ ₱599, 40% @ ₱799, 10% @ ₱1,299)</t>
        </is>
      </c>
    </row>
    <row r="21">
      <c r="A21" s="4" t="inlineStr">
        <is>
          <t>Equipment Unit CAPEX</t>
        </is>
      </c>
      <c r="B21" s="5" t="inlineStr">
        <is>
          <t>BTS (BBU x1, 8T8R RRU x3, Antennas x3)</t>
        </is>
      </c>
      <c r="C21" s="12" t="n">
        <v>75000</v>
      </c>
      <c r="D21" s="7" t="inlineStr">
        <is>
          <t>USD / site</t>
        </is>
      </c>
      <c r="E21" s="8" t="inlineStr">
        <is>
          <t>Tier-1 8T8R macro BTS hardware package</t>
        </is>
      </c>
    </row>
    <row r="22">
      <c r="A22" s="4" t="inlineStr">
        <is>
          <t>Equipment Unit CAPEX</t>
        </is>
      </c>
      <c r="B22" s="5" t="inlineStr">
        <is>
          <t>RAN Turnkey Services (PM, I&amp;C, Optim)</t>
        </is>
      </c>
      <c r="C22" s="12" t="n">
        <v>15900</v>
      </c>
      <c r="D22" s="7" t="inlineStr">
        <is>
          <t>USD / site</t>
        </is>
      </c>
      <c r="E22" s="8" t="inlineStr">
        <is>
          <t>Full turnkey site rollout &amp; commissioning</t>
        </is>
      </c>
    </row>
    <row r="23">
      <c r="A23" s="4" t="inlineStr">
        <is>
          <t>Equipment Unit CAPEX</t>
        </is>
      </c>
      <c r="B23" s="5" t="inlineStr">
        <is>
          <t>CPE Unit Purchase Price</t>
        </is>
      </c>
      <c r="C23" s="13" t="n">
        <v>55</v>
      </c>
      <c r="D23" s="7" t="inlineStr">
        <is>
          <t>USD / unit</t>
        </is>
      </c>
      <c r="E23" s="8" t="inlineStr">
        <is>
          <t>5G FWA indoor customer premises unit</t>
        </is>
      </c>
    </row>
    <row r="24">
      <c r="A24" s="4" t="inlineStr">
        <is>
          <t>Transmission CAPEX</t>
        </is>
      </c>
      <c r="B24" s="5" t="inlineStr">
        <is>
          <t>Direct Node Drop Connection</t>
        </is>
      </c>
      <c r="C24" s="12" t="n">
        <v>1500</v>
      </c>
      <c r="D24" s="7" t="inlineStr">
        <is>
          <t>USD / site</t>
        </is>
      </c>
      <c r="E24" s="8" t="inlineStr">
        <is>
          <t>Drop cable, termination, short lateral</t>
        </is>
      </c>
    </row>
    <row r="25">
      <c r="A25" s="4" t="inlineStr">
        <is>
          <t>Transmission CAPEX</t>
        </is>
      </c>
      <c r="B25" s="5" t="inlineStr">
        <is>
          <t>Splice Line-Tap Enclosure &amp; Tray</t>
        </is>
      </c>
      <c r="C25" s="12" t="n">
        <v>3500</v>
      </c>
      <c r="D25" s="7" t="inlineStr">
        <is>
          <t>USD / site</t>
        </is>
      </c>
      <c r="E25" s="8" t="inlineStr">
        <is>
          <t>Closure installation, splicing, branching</t>
        </is>
      </c>
    </row>
    <row r="26">
      <c r="A26" s="4" t="inlineStr">
        <is>
          <t>Transmission CAPEX</t>
        </is>
      </c>
      <c r="B26" s="5" t="inlineStr">
        <is>
          <t>Microwave / Lateral Extension</t>
        </is>
      </c>
      <c r="C26" s="12" t="n">
        <v>7500</v>
      </c>
      <c r="D26" s="7" t="inlineStr">
        <is>
          <t>USD / site</t>
        </is>
      </c>
      <c r="E26" s="8" t="inlineStr">
        <is>
          <t>Short-hop microwave / lateral extension</t>
        </is>
      </c>
    </row>
    <row r="27">
      <c r="A27" s="4" t="inlineStr">
        <is>
          <t>Transmission CAPEX</t>
        </is>
      </c>
      <c r="B27" s="5" t="inlineStr">
        <is>
          <t>Starlink 4-Terminal Kit + Aggregator</t>
        </is>
      </c>
      <c r="C27" s="12" t="n">
        <v>1920</v>
      </c>
      <c r="D27" s="7" t="inlineStr">
        <is>
          <t>USD / site</t>
        </is>
      </c>
      <c r="E27" s="8" t="inlineStr">
        <is>
          <t>4x Starlink terminals ($480 ea) + bonding router</t>
        </is>
      </c>
    </row>
    <row r="28">
      <c r="A28" s="4" t="inlineStr">
        <is>
          <t>Backhaul Recurring OPEX</t>
        </is>
      </c>
      <c r="B28" s="5" t="inlineStr">
        <is>
          <t>Terrestrial Fiber Lease (Node Drop)</t>
        </is>
      </c>
      <c r="C28" s="11" t="n">
        <v>40000</v>
      </c>
      <c r="D28" s="7" t="inlineStr">
        <is>
          <t>PHP/site/mo</t>
        </is>
      </c>
      <c r="E28" s="8" t="inlineStr">
        <is>
          <t>Direct drop backhaul port/dark fiber fee</t>
        </is>
      </c>
    </row>
    <row r="29">
      <c r="A29" s="4" t="inlineStr">
        <is>
          <t>Backhaul Recurring OPEX</t>
        </is>
      </c>
      <c r="B29" s="5" t="inlineStr">
        <is>
          <t>Terrestrial Fiber Lease (Splice Tap)</t>
        </is>
      </c>
      <c r="C29" s="11" t="n">
        <v>45000</v>
      </c>
      <c r="D29" s="7" t="inlineStr">
        <is>
          <t>PHP/site/mo</t>
        </is>
      </c>
      <c r="E29" s="8" t="inlineStr">
        <is>
          <t>Splice tap monthly transport cross-connect</t>
        </is>
      </c>
    </row>
    <row r="30">
      <c r="A30" s="4" t="inlineStr">
        <is>
          <t>Backhaul Recurring OPEX</t>
        </is>
      </c>
      <c r="B30" s="5" t="inlineStr">
        <is>
          <t>Terrestrial Fiber Lease (Lateral)</t>
        </is>
      </c>
      <c r="C30" s="11" t="n">
        <v>55000</v>
      </c>
      <c r="D30" s="7" t="inlineStr">
        <is>
          <t>PHP/site/mo</t>
        </is>
      </c>
      <c r="E30" s="8" t="inlineStr">
        <is>
          <t>Lateral route monthly lease</t>
        </is>
      </c>
    </row>
    <row r="31">
      <c r="A31" s="4" t="inlineStr">
        <is>
          <t>Backhaul Recurring OPEX</t>
        </is>
      </c>
      <c r="B31" s="5" t="inlineStr">
        <is>
          <t>Starlink Pooled Data (4 Terminals)</t>
        </is>
      </c>
      <c r="C31" s="11" t="n">
        <v>6800</v>
      </c>
      <c r="D31" s="7" t="inlineStr">
        <is>
          <t>PHP/site/mo</t>
        </is>
      </c>
      <c r="E31" s="8" t="inlineStr">
        <is>
          <t>4 terminals x PHP 1,700/mo pooled data</t>
        </is>
      </c>
    </row>
    <row r="32">
      <c r="A32" s="4" t="inlineStr">
        <is>
          <t>Tower Infrastructure</t>
        </is>
      </c>
      <c r="B32" s="5" t="inlineStr">
        <is>
          <t>Phase 1 TowerCo Co-location Ready (&lt;=1.0 km)</t>
        </is>
      </c>
      <c r="C32" s="11" t="n">
        <v>378</v>
      </c>
      <c r="D32" s="7" t="inlineStr">
        <is>
          <t>sites</t>
        </is>
      </c>
      <c r="E32" s="8" t="inlineStr">
        <is>
          <t>Audited existing towers &lt;=1 km (37.8% of Phase 1)</t>
        </is>
      </c>
    </row>
    <row r="33">
      <c r="A33" s="4" t="inlineStr">
        <is>
          <t>Tower Infrastructure</t>
        </is>
      </c>
      <c r="B33" s="5" t="inlineStr">
        <is>
          <t>Phase 1 Greenfield Own-Build (&gt;2.0 km)</t>
        </is>
      </c>
      <c r="C33" s="11" t="n">
        <v>506</v>
      </c>
      <c r="D33" s="7" t="inlineStr">
        <is>
          <t>sites</t>
        </is>
      </c>
      <c r="E33" s="8" t="inlineStr">
        <is>
          <t>Remote sites requiring new monopole build (50.6%)</t>
        </is>
      </c>
    </row>
    <row r="34">
      <c r="A34" s="4" t="inlineStr">
        <is>
          <t>Tower Infrastructure</t>
        </is>
      </c>
      <c r="B34" s="5" t="inlineStr">
        <is>
          <t>Total Program Empirical Co-location Rate</t>
        </is>
      </c>
      <c r="C34" s="9" t="n">
        <v>0.5256</v>
      </c>
      <c r="D34" s="7" t="inlineStr">
        <is>
          <t>%</t>
        </is>
      </c>
      <c r="E34" s="8" t="inlineStr">
        <is>
          <t>Empirical ratio of sites with tower &lt;=1.0 km across DICT / UNDP GIDA</t>
        </is>
      </c>
    </row>
    <row r="35">
      <c r="A35" s="4" t="inlineStr">
        <is>
          <t>Tower Infrastructure</t>
        </is>
      </c>
      <c r="B35" s="5" t="inlineStr">
        <is>
          <t>Total Program Greenfield Own-Build Rate</t>
        </is>
      </c>
      <c r="C35" s="9" t="n">
        <v>0.418</v>
      </c>
      <c r="D35" s="7" t="inlineStr">
        <is>
          <t>%</t>
        </is>
      </c>
      <c r="E35" s="8" t="inlineStr">
        <is>
          <t>Empirical ratio of sites with tower &gt;2.0 km across DICT / UNDP GIDA</t>
        </is>
      </c>
    </row>
    <row r="36">
      <c r="A36" s="4" t="inlineStr">
        <is>
          <t>Tower Infrastructure</t>
        </is>
      </c>
      <c r="B36" s="5" t="inlineStr">
        <is>
          <t>TowerCo Lease Rate (Colocation)</t>
        </is>
      </c>
      <c r="C36" s="11" t="n">
        <v>120000</v>
      </c>
      <c r="D36" s="7" t="inlineStr">
        <is>
          <t>PHP/site/mo</t>
        </is>
      </c>
      <c r="E36" s="8" t="inlineStr">
        <is>
          <t>Full turnkey macro colocation lease</t>
        </is>
      </c>
    </row>
    <row r="37">
      <c r="A37" s="4" t="inlineStr">
        <is>
          <t>Tower Infrastructure</t>
        </is>
      </c>
      <c r="B37" s="5" t="inlineStr">
        <is>
          <t>Own-Site Monopole Build CAPEX</t>
        </is>
      </c>
      <c r="C37" s="11" t="n">
        <v>3500000</v>
      </c>
      <c r="D37" s="7" t="inlineStr">
        <is>
          <t>PHP / site</t>
        </is>
      </c>
      <c r="E37" s="8" t="inlineStr">
        <is>
          <t>30m monopole, civil shelter, compound</t>
        </is>
      </c>
    </row>
    <row r="38">
      <c r="A38" s="4" t="inlineStr">
        <is>
          <t>Tower Infrastructure</t>
        </is>
      </c>
      <c r="B38" s="5" t="inlineStr">
        <is>
          <t>Own-Site Ground Land Lease OPEX</t>
        </is>
      </c>
      <c r="C38" s="11" t="n">
        <v>25000</v>
      </c>
      <c r="D38" s="7" t="inlineStr">
        <is>
          <t>PHP/site/mo</t>
        </is>
      </c>
      <c r="E38" s="8" t="inlineStr">
        <is>
          <t>Land rental for own-built greenfield monopole sites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92" customWidth="1" min="2" max="2"/>
    <col width="54" customWidth="1" min="3" max="3"/>
    <col width="181" customWidth="1" min="4" max="4"/>
    <col width="181" customWidth="1" min="5" max="5"/>
    <col width="181" customWidth="1" min="6" max="6"/>
    <col width="181" customWidth="1" min="7" max="7"/>
    <col width="181" customWidth="1" min="8" max="8"/>
    <col width="181" customWidth="1" min="9" max="9"/>
    <col width="181" customWidth="1" min="10" max="10"/>
    <col width="181" customWidth="1" min="11" max="11"/>
    <col width="181" customWidth="1" min="12" max="12"/>
    <col width="181" customWidth="1" min="13" max="13"/>
  </cols>
  <sheetData>
    <row r="1">
      <c r="A1" s="1" t="inlineStr">
        <is>
          <t>10-Year Financial Feasibility &amp; Scenario Analysis — DICT / UNDP GIDA</t>
        </is>
      </c>
    </row>
    <row r="2">
      <c r="A2" s="2" t="inlineStr">
        <is>
          <t>Audited 4-Tier Transmission Mix | 8T8R Sizing | Leased Towers vs Own Build</t>
        </is>
      </c>
    </row>
    <row r="3"/>
    <row r="4">
      <c r="A4" s="3" t="inlineStr">
        <is>
          <t>Metric / Cash Flow Line ($M USD)</t>
        </is>
      </c>
      <c r="B4" s="3" t="inlineStr">
        <is>
          <t>Category</t>
        </is>
      </c>
      <c r="C4" s="3" t="inlineStr">
        <is>
          <t>10-Yr Total</t>
        </is>
      </c>
      <c r="D4" s="3" t="inlineStr">
        <is>
          <t>Year 1</t>
        </is>
      </c>
      <c r="E4" s="3" t="inlineStr">
        <is>
          <t>Year 2</t>
        </is>
      </c>
      <c r="F4" s="3" t="inlineStr">
        <is>
          <t>Year 3</t>
        </is>
      </c>
      <c r="G4" s="3" t="inlineStr">
        <is>
          <t>Year 4</t>
        </is>
      </c>
      <c r="H4" s="3" t="inlineStr">
        <is>
          <t>Year 5</t>
        </is>
      </c>
      <c r="I4" s="3" t="inlineStr">
        <is>
          <t>Year 6</t>
        </is>
      </c>
      <c r="J4" s="3" t="inlineStr">
        <is>
          <t>Year 7</t>
        </is>
      </c>
      <c r="K4" s="3" t="inlineStr">
        <is>
          <t>Year 8</t>
        </is>
      </c>
      <c r="L4" s="3" t="inlineStr">
        <is>
          <t>Year 9</t>
        </is>
      </c>
      <c r="M4" s="3" t="inlineStr">
        <is>
          <t>Year 10</t>
        </is>
      </c>
    </row>
    <row r="5">
      <c r="A5" s="5" t="inlineStr">
        <is>
          <t>Network Cumulative Sites</t>
        </is>
      </c>
      <c r="B5" s="7" t="inlineStr">
        <is>
          <t>Scale</t>
        </is>
      </c>
      <c r="C5" s="14">
        <f>SUM(D5:M5)</f>
        <v/>
      </c>
      <c r="D5" s="15">
        <f>'Assumptions &amp; Levers'!$C$10</f>
        <v/>
      </c>
      <c r="E5" s="15">
        <f>D5+'Assumptions &amp; Levers'!$C$11</f>
        <v/>
      </c>
      <c r="F5" s="15">
        <f>E5+'Assumptions &amp; Levers'!$C$11</f>
        <v/>
      </c>
      <c r="G5" s="15">
        <f>F5+'Assumptions &amp; Levers'!$C$11</f>
        <v/>
      </c>
      <c r="H5" s="15">
        <f>G5+'Assumptions &amp; Levers'!$C$11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  <c r="M5" s="15">
        <f>L5</f>
        <v/>
      </c>
    </row>
    <row r="6">
      <c r="A6" s="5" t="inlineStr">
        <is>
          <t>Active Subscribers</t>
        </is>
      </c>
      <c r="B6" s="7" t="inlineStr">
        <is>
          <t>Scale</t>
        </is>
      </c>
      <c r="C6" s="14">
        <f>SUM(D6:M6)</f>
        <v/>
      </c>
      <c r="D6" s="15" t="n">
        <v>120000</v>
      </c>
      <c r="E6" s="15" t="n">
        <v>300000</v>
      </c>
      <c r="F6" s="15" t="n">
        <v>550000</v>
      </c>
      <c r="G6" s="15" t="n">
        <v>850000</v>
      </c>
      <c r="H6" s="15" t="n">
        <v>1100000</v>
      </c>
      <c r="I6" s="15" t="n">
        <v>1200000</v>
      </c>
      <c r="J6" s="15" t="n">
        <v>1260000</v>
      </c>
      <c r="K6" s="15" t="n">
        <v>1300000</v>
      </c>
      <c r="L6" s="15" t="n">
        <v>1330000</v>
      </c>
      <c r="M6" s="15" t="n">
        <v>1358095</v>
      </c>
    </row>
    <row r="7">
      <c r="A7" s="5" t="inlineStr">
        <is>
          <t>Gross Subscription Revenue ($M)</t>
        </is>
      </c>
      <c r="B7" s="7" t="inlineStr">
        <is>
          <t>Revenue</t>
        </is>
      </c>
      <c r="C7" s="16">
        <f>SUM(D7:M7)</f>
        <v/>
      </c>
      <c r="D7" s="17">
        <f>ROUND(D6*('Assumptions &amp; Levers'!$C$20/'Assumptions &amp; Levers'!$C$5)*12/1000000, 2)</f>
        <v/>
      </c>
      <c r="E7" s="17">
        <f>ROUND(E6*('Assumptions &amp; Levers'!$C$20/'Assumptions &amp; Levers'!$C$5)*12/1000000, 2)</f>
        <v/>
      </c>
      <c r="F7" s="17">
        <f>ROUND(F6*('Assumptions &amp; Levers'!$C$20/'Assumptions &amp; Levers'!$C$5)*12/1000000, 2)</f>
        <v/>
      </c>
      <c r="G7" s="17">
        <f>ROUND(G6*('Assumptions &amp; Levers'!$C$20/'Assumptions &amp; Levers'!$C$5)*12/1000000, 2)</f>
        <v/>
      </c>
      <c r="H7" s="17">
        <f>ROUND(H6*('Assumptions &amp; Levers'!$C$20/'Assumptions &amp; Levers'!$C$5)*12/1000000, 2)</f>
        <v/>
      </c>
      <c r="I7" s="17">
        <f>ROUND(I6*('Assumptions &amp; Levers'!$C$20/'Assumptions &amp; Levers'!$C$5)*12/1000000, 2)</f>
        <v/>
      </c>
      <c r="J7" s="17">
        <f>ROUND(J6*('Assumptions &amp; Levers'!$C$20/'Assumptions &amp; Levers'!$C$5)*12/1000000, 2)</f>
        <v/>
      </c>
      <c r="K7" s="17">
        <f>ROUND(K6*('Assumptions &amp; Levers'!$C$20/'Assumptions &amp; Levers'!$C$5)*12/1000000, 2)</f>
        <v/>
      </c>
      <c r="L7" s="17">
        <f>ROUND(L6*('Assumptions &amp; Levers'!$C$20/'Assumptions &amp; Levers'!$C$5)*12/1000000, 2)</f>
        <v/>
      </c>
      <c r="M7" s="17">
        <f>ROUND(M6*('Assumptions &amp; Levers'!$C$20/'Assumptions &amp; Levers'!$C$5)*12/1000000, 2)</f>
        <v/>
      </c>
    </row>
    <row r="8">
      <c r="A8" s="5" t="inlineStr">
        <is>
          <t>TowerCo Lease OPEX ($M)</t>
        </is>
      </c>
      <c r="B8" s="7" t="inlineStr">
        <is>
          <t>OPEX</t>
        </is>
      </c>
      <c r="C8" s="16">
        <f>SUM(D8:M8)</f>
        <v/>
      </c>
      <c r="D8" s="17">
        <f>ROUND((D5*'Assumptions &amp; Levers'!$C$34*'Assumptions &amp; Levers'!$C$36*12+D5*'Assumptions &amp; Levers'!$C$35*'Assumptions &amp; Levers'!$C$38*12)/('Assumptions &amp; Levers'!$C$5*1000000), 2)</f>
        <v/>
      </c>
      <c r="E8" s="17">
        <f>ROUND((E5*'Assumptions &amp; Levers'!$C$34*'Assumptions &amp; Levers'!$C$36*12+E5*'Assumptions &amp; Levers'!$C$35*'Assumptions &amp; Levers'!$C$38*12)/('Assumptions &amp; Levers'!$C$5*1000000), 2)</f>
        <v/>
      </c>
      <c r="F8" s="17">
        <f>ROUND((F5*'Assumptions &amp; Levers'!$C$34*'Assumptions &amp; Levers'!$C$36*12+F5*'Assumptions &amp; Levers'!$C$35*'Assumptions &amp; Levers'!$C$38*12)/('Assumptions &amp; Levers'!$C$5*1000000), 2)</f>
        <v/>
      </c>
      <c r="G8" s="17">
        <f>ROUND((G5*'Assumptions &amp; Levers'!$C$34*'Assumptions &amp; Levers'!$C$36*12+G5*'Assumptions &amp; Levers'!$C$35*'Assumptions &amp; Levers'!$C$38*12)/('Assumptions &amp; Levers'!$C$5*1000000), 2)</f>
        <v/>
      </c>
      <c r="H8" s="17">
        <f>ROUND((H5*'Assumptions &amp; Levers'!$C$34*'Assumptions &amp; Levers'!$C$36*12+H5*'Assumptions &amp; Levers'!$C$35*'Assumptions &amp; Levers'!$C$38*12)/('Assumptions &amp; Levers'!$C$5*1000000), 2)</f>
        <v/>
      </c>
      <c r="I8" s="17">
        <f>ROUND((I5*'Assumptions &amp; Levers'!$C$34*'Assumptions &amp; Levers'!$C$36*12+I5*'Assumptions &amp; Levers'!$C$35*'Assumptions &amp; Levers'!$C$38*12)/('Assumptions &amp; Levers'!$C$5*1000000), 2)</f>
        <v/>
      </c>
      <c r="J8" s="17">
        <f>ROUND((J5*'Assumptions &amp; Levers'!$C$34*'Assumptions &amp; Levers'!$C$36*12+J5*'Assumptions &amp; Levers'!$C$35*'Assumptions &amp; Levers'!$C$38*12)/('Assumptions &amp; Levers'!$C$5*1000000), 2)</f>
        <v/>
      </c>
      <c r="K8" s="17">
        <f>ROUND((K5*'Assumptions &amp; Levers'!$C$34*'Assumptions &amp; Levers'!$C$36*12+K5*'Assumptions &amp; Levers'!$C$35*'Assumptions &amp; Levers'!$C$38*12)/('Assumptions &amp; Levers'!$C$5*1000000), 2)</f>
        <v/>
      </c>
      <c r="L8" s="17">
        <f>ROUND((L5*'Assumptions &amp; Levers'!$C$34*'Assumptions &amp; Levers'!$C$36*12+L5*'Assumptions &amp; Levers'!$C$35*'Assumptions &amp; Levers'!$C$38*12)/('Assumptions &amp; Levers'!$C$5*1000000), 2)</f>
        <v/>
      </c>
      <c r="M8" s="17">
        <f>ROUND((M5*'Assumptions &amp; Levers'!$C$34*'Assumptions &amp; Levers'!$C$36*12+M5*'Assumptions &amp; Levers'!$C$35*'Assumptions &amp; Levers'!$C$38*12)/('Assumptions &amp; Levers'!$C$5*1000000), 2)</f>
        <v/>
      </c>
    </row>
    <row r="9">
      <c r="A9" s="5" t="inlineStr">
        <is>
          <t>Audited Backhaul OPEX ($M)</t>
        </is>
      </c>
      <c r="B9" s="7" t="inlineStr">
        <is>
          <t>OPEX</t>
        </is>
      </c>
      <c r="C9" s="16">
        <f>SUM(D9:M9)</f>
        <v/>
      </c>
      <c r="D9" s="17">
        <f>ROUND((D5*0.5646*46000*12+D5*0.4354*'Assumptions &amp; Levers'!$C$31*12)/('Assumptions &amp; Levers'!$C$5*1000000), 2)</f>
        <v/>
      </c>
      <c r="E9" s="17">
        <f>ROUND((E5*0.5646*46000*12+E5*0.4354*'Assumptions &amp; Levers'!$C$31*12)/('Assumptions &amp; Levers'!$C$5*1000000), 2)</f>
        <v/>
      </c>
      <c r="F9" s="17">
        <f>ROUND((F5*0.5646*46000*12+F5*0.4354*'Assumptions &amp; Levers'!$C$31*12)/('Assumptions &amp; Levers'!$C$5*1000000), 2)</f>
        <v/>
      </c>
      <c r="G9" s="17">
        <f>ROUND((G5*0.5646*46000*12+G5*0.4354*'Assumptions &amp; Levers'!$C$31*12)/('Assumptions &amp; Levers'!$C$5*1000000), 2)</f>
        <v/>
      </c>
      <c r="H9" s="17">
        <f>ROUND((H5*0.5646*46000*12+H5*0.4354*'Assumptions &amp; Levers'!$C$31*12)/('Assumptions &amp; Levers'!$C$5*1000000), 2)</f>
        <v/>
      </c>
      <c r="I9" s="17">
        <f>ROUND((I5*0.5646*46000*12+I5*0.4354*'Assumptions &amp; Levers'!$C$31*12)/('Assumptions &amp; Levers'!$C$5*1000000), 2)</f>
        <v/>
      </c>
      <c r="J9" s="17">
        <f>ROUND((J5*0.5646*46000*12+J5*0.4354*'Assumptions &amp; Levers'!$C$31*12)/('Assumptions &amp; Levers'!$C$5*1000000), 2)</f>
        <v/>
      </c>
      <c r="K9" s="17">
        <f>ROUND((K5*0.5646*46000*12+K5*0.4354*'Assumptions &amp; Levers'!$C$31*12)/('Assumptions &amp; Levers'!$C$5*1000000), 2)</f>
        <v/>
      </c>
      <c r="L9" s="17">
        <f>ROUND((L5*0.5646*46000*12+L5*0.4354*'Assumptions &amp; Levers'!$C$31*12)/('Assumptions &amp; Levers'!$C$5*1000000), 2)</f>
        <v/>
      </c>
      <c r="M9" s="17">
        <f>ROUND((M5*0.5646*46000*12+M5*0.4354*'Assumptions &amp; Levers'!$C$31*12)/('Assumptions &amp; Levers'!$C$5*1000000), 2)</f>
        <v/>
      </c>
    </row>
    <row r="10">
      <c r="A10" s="5" t="inlineStr">
        <is>
          <t>Network Active Telecom O&amp;M ($M)</t>
        </is>
      </c>
      <c r="B10" s="7" t="inlineStr">
        <is>
          <t>OPEX</t>
        </is>
      </c>
      <c r="C10" s="16">
        <f>SUM(D10:M10)</f>
        <v/>
      </c>
      <c r="D10" s="17">
        <f>ROUND(D5*(120000/'Assumptions &amp; Levers'!$C$5)*12/1000000, 2)</f>
        <v/>
      </c>
      <c r="E10" s="17">
        <f>ROUND(E5*(120000/'Assumptions &amp; Levers'!$C$5)*12/1000000, 2)</f>
        <v/>
      </c>
      <c r="F10" s="17">
        <f>ROUND(F5*(120000/'Assumptions &amp; Levers'!$C$5)*12/1000000, 2)</f>
        <v/>
      </c>
      <c r="G10" s="17">
        <f>ROUND(G5*(120000/'Assumptions &amp; Levers'!$C$5)*12/1000000, 2)</f>
        <v/>
      </c>
      <c r="H10" s="17">
        <f>ROUND(H5*(120000/'Assumptions &amp; Levers'!$C$5)*12/1000000, 2)</f>
        <v/>
      </c>
      <c r="I10" s="17">
        <f>ROUND(I5*(120000/'Assumptions &amp; Levers'!$C$5)*12/1000000, 2)</f>
        <v/>
      </c>
      <c r="J10" s="17">
        <f>ROUND(J5*(120000/'Assumptions &amp; Levers'!$C$5)*12/1000000, 2)</f>
        <v/>
      </c>
      <c r="K10" s="17">
        <f>ROUND(K5*(120000/'Assumptions &amp; Levers'!$C$5)*12/1000000, 2)</f>
        <v/>
      </c>
      <c r="L10" s="17">
        <f>ROUND(L5*(120000/'Assumptions &amp; Levers'!$C$5)*12/1000000, 2)</f>
        <v/>
      </c>
      <c r="M10" s="17">
        <f>ROUND(M5*(120000/'Assumptions &amp; Levers'!$C$5)*12/1000000, 2)</f>
        <v/>
      </c>
    </row>
    <row r="11">
      <c r="A11" s="5" t="inlineStr">
        <is>
          <t>Total Operating Expenses ($M)</t>
        </is>
      </c>
      <c r="B11" s="7" t="inlineStr">
        <is>
          <t>OPEX</t>
        </is>
      </c>
      <c r="C11" s="16">
        <f>SUM(D11:M11)</f>
        <v/>
      </c>
      <c r="D11" s="17">
        <f>SUM(D8:D10)</f>
        <v/>
      </c>
      <c r="E11" s="17">
        <f>SUM(E8:E10)</f>
        <v/>
      </c>
      <c r="F11" s="17">
        <f>SUM(F8:F10)</f>
        <v/>
      </c>
      <c r="G11" s="17">
        <f>SUM(G8:G10)</f>
        <v/>
      </c>
      <c r="H11" s="17">
        <f>SUM(H8:H10)</f>
        <v/>
      </c>
      <c r="I11" s="17">
        <f>SUM(I8:I10)</f>
        <v/>
      </c>
      <c r="J11" s="17">
        <f>SUM(J8:J10)</f>
        <v/>
      </c>
      <c r="K11" s="17">
        <f>SUM(K8:K10)</f>
        <v/>
      </c>
      <c r="L11" s="17">
        <f>SUM(L8:L10)</f>
        <v/>
      </c>
      <c r="M11" s="17">
        <f>SUM(M8:M10)</f>
        <v/>
      </c>
    </row>
    <row r="12">
      <c r="A12" s="4" t="inlineStr">
        <is>
          <t>EBITDA ($M)</t>
        </is>
      </c>
      <c r="B12" s="7" t="inlineStr">
        <is>
          <t>Profitability</t>
        </is>
      </c>
      <c r="C12" s="16">
        <f>SUM(D12:M12)</f>
        <v/>
      </c>
      <c r="D12" s="18">
        <f>D7-D11</f>
        <v/>
      </c>
      <c r="E12" s="18">
        <f>E7-E11</f>
        <v/>
      </c>
      <c r="F12" s="18">
        <f>F7-F11</f>
        <v/>
      </c>
      <c r="G12" s="18">
        <f>G7-G11</f>
        <v/>
      </c>
      <c r="H12" s="18">
        <f>H7-H11</f>
        <v/>
      </c>
      <c r="I12" s="18">
        <f>I7-I11</f>
        <v/>
      </c>
      <c r="J12" s="18">
        <f>J7-J11</f>
        <v/>
      </c>
      <c r="K12" s="18">
        <f>K7-K11</f>
        <v/>
      </c>
      <c r="L12" s="18">
        <f>L7-L11</f>
        <v/>
      </c>
      <c r="M12" s="18">
        <f>M7-M11</f>
        <v/>
      </c>
    </row>
    <row r="13">
      <c r="A13" s="5" t="inlineStr">
        <is>
          <t>BTS &amp; RAN CAPEX ($M)</t>
        </is>
      </c>
      <c r="B13" s="7" t="inlineStr">
        <is>
          <t>CAPEX</t>
        </is>
      </c>
      <c r="C13" s="16">
        <f>SUM(D13:M13)</f>
        <v/>
      </c>
      <c r="D13" s="17">
        <f>ROUND('Assumptions &amp; Levers'!$C$10*('Assumptions &amp; Levers'!$C$21+'Assumptions &amp; Levers'!$C$22)/1000000, 2)</f>
        <v/>
      </c>
      <c r="E13" s="17">
        <f>ROUND('Assumptions &amp; Levers'!$C$11*('Assumptions &amp; Levers'!$C$21+'Assumptions &amp; Levers'!$C$22)/1000000, 2)</f>
        <v/>
      </c>
      <c r="F13" s="17">
        <f>ROUND('Assumptions &amp; Levers'!$C$11*('Assumptions &amp; Levers'!$C$21+'Assumptions &amp; Levers'!$C$22)/1000000, 2)</f>
        <v/>
      </c>
      <c r="G13" s="17">
        <f>ROUND('Assumptions &amp; Levers'!$C$11*('Assumptions &amp; Levers'!$C$21+'Assumptions &amp; Levers'!$C$22)/1000000, 2)</f>
        <v/>
      </c>
      <c r="H13" s="17">
        <f>ROUND('Assumptions &amp; Levers'!$C$11*('Assumptions &amp; Levers'!$C$21+'Assumptions &amp; Levers'!$C$22)/1000000, 2)</f>
        <v/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A14" s="5" t="inlineStr">
        <is>
          <t>Own-Site Monopole Build CAPEX ($M)</t>
        </is>
      </c>
      <c r="B14" s="7" t="inlineStr">
        <is>
          <t>CAPEX</t>
        </is>
      </c>
      <c r="C14" s="16">
        <f>SUM(D14:M14)</f>
        <v/>
      </c>
      <c r="D14" s="17">
        <f>ROUND('Assumptions &amp; Levers'!$C$10*'Assumptions &amp; Levers'!$C$35*'Assumptions &amp; Levers'!$C$37/('Assumptions &amp; Levers'!$C$5*1000000), 2)</f>
        <v/>
      </c>
      <c r="E14" s="17">
        <f>ROUND('Assumptions &amp; Levers'!$C$11*'Assumptions &amp; Levers'!$C$35*'Assumptions &amp; Levers'!$C$37/('Assumptions &amp; Levers'!$C$5*1000000), 2)</f>
        <v/>
      </c>
      <c r="F14" s="17">
        <f>ROUND('Assumptions &amp; Levers'!$C$11*'Assumptions &amp; Levers'!$C$35*'Assumptions &amp; Levers'!$C$37/('Assumptions &amp; Levers'!$C$5*1000000), 2)</f>
        <v/>
      </c>
      <c r="G14" s="17">
        <f>ROUND('Assumptions &amp; Levers'!$C$11*'Assumptions &amp; Levers'!$C$35*'Assumptions &amp; Levers'!$C$37/('Assumptions &amp; Levers'!$C$5*1000000), 2)</f>
        <v/>
      </c>
      <c r="H14" s="17">
        <f>ROUND('Assumptions &amp; Levers'!$C$11*'Assumptions &amp; Levers'!$C$35*'Assumptions &amp; Levers'!$C$37/('Assumptions &amp; Levers'!$C$5*1000000), 2)</f>
        <v/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A15" s="5" t="inlineStr">
        <is>
          <t>Audited Transmission CAPEX ($M)</t>
        </is>
      </c>
      <c r="B15" s="7" t="inlineStr">
        <is>
          <t>CAPEX</t>
        </is>
      </c>
      <c r="C15" s="16">
        <f>SUM(D15:M15)</f>
        <v/>
      </c>
      <c r="D15" s="17">
        <f>ROUND('Assumptions &amp; Levers'!$C$11*(0.5646*'Assumptions &amp; Levers'!$C$25+0.4354*'Assumptions &amp; Levers'!$C$27)/1000000, 2)</f>
        <v/>
      </c>
      <c r="E15" s="17">
        <f>ROUND('Assumptions &amp; Levers'!$C$11*(0.5646*'Assumptions &amp; Levers'!$C$25+0.4354*'Assumptions &amp; Levers'!$C$27)/1000000, 2)</f>
        <v/>
      </c>
      <c r="F15" s="17">
        <f>ROUND('Assumptions &amp; Levers'!$C$11*(0.5646*'Assumptions &amp; Levers'!$C$25+0.4354*'Assumptions &amp; Levers'!$C$27)/1000000, 2)</f>
        <v/>
      </c>
      <c r="G15" s="17">
        <f>ROUND('Assumptions &amp; Levers'!$C$11*(0.5646*'Assumptions &amp; Levers'!$C$25+0.4354*'Assumptions &amp; Levers'!$C$27)/1000000, 2)</f>
        <v/>
      </c>
      <c r="H15" s="17">
        <f>ROUND('Assumptions &amp; Levers'!$C$11*(0.5646*'Assumptions &amp; Levers'!$C$25+0.4354*'Assumptions &amp; Levers'!$C$27)/1000000, 2)</f>
        <v/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A16" s="5" t="inlineStr">
        <is>
          <t>CPE Device CAPEX ($M)</t>
        </is>
      </c>
      <c r="B16" s="7" t="inlineStr">
        <is>
          <t>CAPEX</t>
        </is>
      </c>
      <c r="C16" s="16">
        <f>SUM(D16:M16)</f>
        <v/>
      </c>
      <c r="D16" s="17">
        <f>ROUND(D6*'Assumptions &amp; Levers'!$C$23/1000000, 2)</f>
        <v/>
      </c>
      <c r="E16" s="17">
        <f>ROUND((E6-D6)*'Assumptions &amp; Levers'!$C$23/1000000, 2)</f>
        <v/>
      </c>
      <c r="F16" s="17">
        <f>ROUND((F6-E6)*'Assumptions &amp; Levers'!$C$23/1000000, 2)</f>
        <v/>
      </c>
      <c r="G16" s="17">
        <f>ROUND((G6-F6)*'Assumptions &amp; Levers'!$C$23/1000000, 2)</f>
        <v/>
      </c>
      <c r="H16" s="17">
        <f>ROUND((H6-G6)*'Assumptions &amp; Levers'!$C$23/1000000, 2)</f>
        <v/>
      </c>
      <c r="I16" s="17">
        <f>ROUND((I6-H6)*'Assumptions &amp; Levers'!$C$23/1000000, 2)</f>
        <v/>
      </c>
      <c r="J16" s="17">
        <f>ROUND((J6-I6)*'Assumptions &amp; Levers'!$C$23/1000000, 2)</f>
        <v/>
      </c>
      <c r="K16" s="17">
        <f>ROUND((K6-J6)*'Assumptions &amp; Levers'!$C$23/1000000, 2)</f>
        <v/>
      </c>
      <c r="L16" s="17">
        <f>ROUND((L6-K6)*'Assumptions &amp; Levers'!$C$23/1000000, 2)</f>
        <v/>
      </c>
      <c r="M16" s="17">
        <f>ROUND((M6-L6)*'Assumptions &amp; Levers'!$C$23/1000000, 2)</f>
        <v/>
      </c>
    </row>
    <row r="17">
      <c r="A17" s="5" t="inlineStr">
        <is>
          <t>Total Capital Expenditure ($M)</t>
        </is>
      </c>
      <c r="B17" s="7" t="inlineStr">
        <is>
          <t>CAPEX</t>
        </is>
      </c>
      <c r="C17" s="16">
        <f>SUM(D17:M17)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7">
        <f>SUM(I13:I16)</f>
        <v/>
      </c>
      <c r="J17" s="17">
        <f>SUM(J13:J16)</f>
        <v/>
      </c>
      <c r="K17" s="17">
        <f>SUM(K13:K16)</f>
        <v/>
      </c>
      <c r="L17" s="17">
        <f>SUM(L13:L16)</f>
        <v/>
      </c>
      <c r="M17" s="17">
        <f>SUM(M13:M16)</f>
        <v/>
      </c>
    </row>
    <row r="18">
      <c r="A18" s="19" t="inlineStr">
        <is>
          <t>Free Cash Flow ($M)</t>
        </is>
      </c>
      <c r="B18" s="20" t="inlineStr">
        <is>
          <t>Cash Flow</t>
        </is>
      </c>
      <c r="C18" s="21">
        <f>SUM(D18:M18)</f>
        <v/>
      </c>
      <c r="D18" s="22">
        <f>D12-D17</f>
        <v/>
      </c>
      <c r="E18" s="22">
        <f>E12-E17</f>
        <v/>
      </c>
      <c r="F18" s="22">
        <f>F12-F17</f>
        <v/>
      </c>
      <c r="G18" s="22">
        <f>G12-G17</f>
        <v/>
      </c>
      <c r="H18" s="22">
        <f>H12-H17</f>
        <v/>
      </c>
      <c r="I18" s="22">
        <f>I12-I17</f>
        <v/>
      </c>
      <c r="J18" s="22">
        <f>J12-J17</f>
        <v/>
      </c>
      <c r="K18" s="22">
        <f>K12-K17</f>
        <v/>
      </c>
      <c r="L18" s="22">
        <f>L12-L17</f>
        <v/>
      </c>
      <c r="M18" s="22">
        <f>M12-M17</f>
        <v/>
      </c>
    </row>
    <row r="19">
      <c r="A19" s="19" t="inlineStr">
        <is>
          <t>Cumulative Free Cash Flow ($M)</t>
        </is>
      </c>
      <c r="B19" s="20" t="inlineStr">
        <is>
          <t>Cash Flow</t>
        </is>
      </c>
      <c r="C19" s="21">
        <f>M18</f>
        <v/>
      </c>
      <c r="D19" s="22">
        <f>D18</f>
        <v/>
      </c>
      <c r="E19" s="22">
        <f>D19+E18</f>
        <v/>
      </c>
      <c r="F19" s="22">
        <f>E19+F18</f>
        <v/>
      </c>
      <c r="G19" s="22">
        <f>F19+G18</f>
        <v/>
      </c>
      <c r="H19" s="22">
        <f>G19+H18</f>
        <v/>
      </c>
      <c r="I19" s="22">
        <f>H19+I18</f>
        <v/>
      </c>
      <c r="J19" s="22">
        <f>I19+J18</f>
        <v/>
      </c>
      <c r="K19" s="22">
        <f>J19+K18</f>
        <v/>
      </c>
      <c r="L19" s="22">
        <f>K19+L18</f>
        <v/>
      </c>
      <c r="M19" s="22">
        <f>L19+M18</f>
        <v/>
      </c>
    </row>
    <row r="20"/>
    <row r="21">
      <c r="A21" s="23" t="inlineStr">
        <is>
          <t>EXECUTIVE VALUATION &amp; RETURN METRICS</t>
        </is>
      </c>
    </row>
    <row r="22">
      <c r="A22" s="4" t="inlineStr">
        <is>
          <t>Project 10-Yr NPV (@ 12% WACC)</t>
        </is>
      </c>
      <c r="B22" s="24">
        <f>NPV('Assumptions &amp; Levers'!$C$6, D18:M18)</f>
        <v/>
      </c>
      <c r="C22" s="8" t="inlineStr">
        <is>
          <t>Discounted cumulative cash return</t>
        </is>
      </c>
    </row>
    <row r="23">
      <c r="A23" s="4" t="inlineStr">
        <is>
          <t>Unlevered Project IRR (%)</t>
        </is>
      </c>
      <c r="B23" s="9">
        <f>IRR(D18:M18)</f>
        <v/>
      </c>
      <c r="C23" s="8" t="inlineStr">
        <is>
          <t>Internal rate of return across 10 years</t>
        </is>
      </c>
    </row>
    <row r="24">
      <c r="A24" s="4" t="inlineStr">
        <is>
          <t>Simple Payback Period</t>
        </is>
      </c>
      <c r="B24" s="25">
        <f>IF(M19&lt;0, "No Payback (&gt;10 Yrs)", TEXT(ROUND(COUNTIF(D19:M19, "&lt;0") + ABS(INDEX(D19:M19, 1, COUNTIF(D19:M19, "&lt;0"))) / INDEX(D18:M18, 1, COUNTIF(D19:M19, "&lt;0") + 1), 1), "0.0") &amp; " Years")</f>
        <v/>
      </c>
      <c r="C24" s="8" t="inlineStr">
        <is>
          <t>Time to recover cumulative initial capital</t>
        </is>
      </c>
    </row>
    <row r="25">
      <c r="A25" s="4" t="inlineStr">
        <is>
          <t>Peak Capital Funding Required</t>
        </is>
      </c>
      <c r="B25" s="24">
        <f>ABS(MIN(0, MIN(D19:M19)))</f>
        <v/>
      </c>
      <c r="C25" s="8" t="inlineStr">
        <is>
          <t>Maximum cumulative cash deficit before self-funding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Financial Business Case — DICT / UNDP GIDA (Rev 2 Audited)</dc:title>
  <dcterms:created xsi:type="dcterms:W3CDTF">2026-10-05T08:16:46Z</dcterms:created>
  <dcterms:modified xsi:type="dcterms:W3CDTF">2026-10-05T08:16:46Z</dcterms:modified>
  <cp:lastModifiedBy>OLIVER TUNGOL</cp:lastModifiedBy>
</cp:coreProperties>
</file>