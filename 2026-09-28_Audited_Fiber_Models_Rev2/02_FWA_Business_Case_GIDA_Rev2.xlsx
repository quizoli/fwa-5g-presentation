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 &amp; Levers" sheetId="1" state="visible" r:id="rId1"/>
    <sheet name="10-Year Cash Flow &amp; Scenari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"/>
    <numFmt numFmtId="165" formatCode="0.0%"/>
    <numFmt numFmtId="166" formatCode="$#,##0"/>
    <numFmt numFmtId="167" formatCode="$#,##0.00"/>
    <numFmt numFmtId="168" formatCode="$#,##0.0"/>
    <numFmt numFmtId="169" formatCode="$#,##0.0M"/>
  </numFmts>
  <fonts count="6">
    <font>
      <name val="Calibri"/>
      <family val="2"/>
      <color theme="1"/>
      <sz val="11"/>
      <scheme val="minor"/>
    </font>
    <font>
      <name val="Calibri"/>
      <b val="1"/>
      <color rgb="001F497D"/>
      <sz val="14"/>
    </font>
    <font>
      <name val="Calibri"/>
      <i val="1"/>
      <color rgb="00595959"/>
      <sz val="9.5"/>
    </font>
    <font>
      <name val="Calibri"/>
      <b val="1"/>
      <color rgb="00FFFFFF"/>
      <sz val="9.5"/>
    </font>
    <font>
      <name val="Calibri"/>
      <b val="1"/>
      <sz val="9"/>
    </font>
    <font>
      <name val="Calibri"/>
      <sz val="9"/>
    </font>
  </fonts>
  <fills count="6">
    <fill>
      <patternFill/>
    </fill>
    <fill>
      <patternFill patternType="gray125"/>
    </fill>
    <fill>
      <patternFill patternType="solid">
        <fgColor rgb="001F497D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0" borderId="1" pivotButton="0" quotePrefix="0" xfId="0"/>
    <xf numFmtId="0" fontId="5" fillId="0" borderId="1" pivotButton="0" quotePrefix="0" xfId="0"/>
    <xf numFmtId="164" fontId="4" fillId="3" borderId="1" applyAlignment="1" pivotButton="0" quotePrefix="0" xfId="0">
      <alignment horizontal="right"/>
    </xf>
    <xf numFmtId="0" fontId="0" fillId="0" borderId="1" applyAlignment="1" pivotButton="0" quotePrefix="0" xfId="0">
      <alignment horizontal="center"/>
    </xf>
    <xf numFmtId="0" fontId="2" fillId="0" borderId="1" pivotButton="0" quotePrefix="0" xfId="0"/>
    <xf numFmtId="165" fontId="4" fillId="3" borderId="1" applyAlignment="1" pivotButton="0" quotePrefix="0" xfId="0">
      <alignment horizontal="right"/>
    </xf>
    <xf numFmtId="1" fontId="4" fillId="3" borderId="1" applyAlignment="1" pivotButton="0" quotePrefix="0" xfId="0">
      <alignment horizontal="right"/>
    </xf>
    <xf numFmtId="3" fontId="4" fillId="3" borderId="1" applyAlignment="1" pivotButton="0" quotePrefix="0" xfId="0">
      <alignment horizontal="right"/>
    </xf>
    <xf numFmtId="166" fontId="4" fillId="3" borderId="1" applyAlignment="1" pivotButton="0" quotePrefix="0" xfId="0">
      <alignment horizontal="right"/>
    </xf>
    <xf numFmtId="167" fontId="4" fillId="3" borderId="1" applyAlignment="1" pivotButton="0" quotePrefix="0" xfId="0">
      <alignment horizontal="right"/>
    </xf>
    <xf numFmtId="3" fontId="4" fillId="0" borderId="1" applyAlignment="1" pivotButton="0" quotePrefix="0" xfId="0">
      <alignment horizontal="right"/>
    </xf>
    <xf numFmtId="3" fontId="5" fillId="0" borderId="1" applyAlignment="1" pivotButton="0" quotePrefix="0" xfId="0">
      <alignment horizontal="right"/>
    </xf>
    <xf numFmtId="168" fontId="4" fillId="0" borderId="1" applyAlignment="1" pivotButton="0" quotePrefix="0" xfId="0">
      <alignment horizontal="right"/>
    </xf>
    <xf numFmtId="168" fontId="5" fillId="0" borderId="1" applyAlignment="1" pivotButton="0" quotePrefix="0" xfId="0">
      <alignment horizontal="right"/>
    </xf>
    <xf numFmtId="168" fontId="4" fillId="4" borderId="1" applyAlignment="1" pivotButton="0" quotePrefix="0" xfId="0">
      <alignment horizontal="right"/>
    </xf>
    <xf numFmtId="0" fontId="4" fillId="0" borderId="2" pivotButton="0" quotePrefix="0" xfId="0"/>
    <xf numFmtId="0" fontId="0" fillId="0" borderId="2" applyAlignment="1" pivotButton="0" quotePrefix="0" xfId="0">
      <alignment horizontal="center"/>
    </xf>
    <xf numFmtId="168" fontId="4" fillId="0" borderId="2" applyAlignment="1" pivotButton="0" quotePrefix="0" xfId="0">
      <alignment horizontal="right"/>
    </xf>
    <xf numFmtId="168" fontId="4" fillId="5" borderId="2" applyAlignment="1" pivotButton="0" quotePrefix="0" xfId="0">
      <alignment horizontal="right"/>
    </xf>
    <xf numFmtId="0" fontId="4" fillId="0" borderId="0" pivotButton="0" quotePrefix="0" xfId="0"/>
    <xf numFmtId="169" fontId="4" fillId="3" borderId="1" applyAlignment="1" pivotButton="0" quotePrefix="0" xfId="0">
      <alignment horizontal="right"/>
    </xf>
    <xf numFmtId="49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showGridLines="1" workbookViewId="0">
      <selection activeCell="A1" sqref="A1"/>
    </sheetView>
  </sheetViews>
  <sheetFormatPr baseColWidth="8" defaultRowHeight="15"/>
  <cols>
    <col width="101" customWidth="1" min="1" max="1"/>
    <col width="45" customWidth="1" min="2" max="2"/>
    <col width="16" customWidth="1" min="3" max="3"/>
    <col width="14" customWidth="1" min="4" max="4"/>
    <col width="67" customWidth="1" min="5" max="5"/>
  </cols>
  <sheetData>
    <row r="1">
      <c r="A1" s="1" t="inlineStr">
        <is>
          <t>FWA 5G n50 (100 MHz) — DICT / UNDP GIDA Financial Model (Revision 2 Audited)</t>
        </is>
      </c>
    </row>
    <row r="2">
      <c r="A2" s="2" t="inlineStr">
        <is>
          <t>Source of Truth: Siting demographics &amp; audited fiber transmission screening. Author: OLIVER TUNGOL</t>
        </is>
      </c>
    </row>
    <row r="4">
      <c r="A4" s="3" t="inlineStr">
        <is>
          <t>Category</t>
        </is>
      </c>
      <c r="B4" s="3" t="inlineStr">
        <is>
          <t>Assumption / Parameter</t>
        </is>
      </c>
      <c r="C4" s="3" t="inlineStr">
        <is>
          <t>Default Value</t>
        </is>
      </c>
      <c r="D4" s="3" t="inlineStr">
        <is>
          <t>Unit</t>
        </is>
      </c>
      <c r="E4" s="3" t="inlineStr">
        <is>
          <t>Source Reference / Engineering Rationale</t>
        </is>
      </c>
    </row>
    <row r="5">
      <c r="A5" s="4" t="inlineStr">
        <is>
          <t>Global Financials</t>
        </is>
      </c>
      <c r="B5" s="5" t="inlineStr">
        <is>
          <t>Exchange Rate (PHP/USD)</t>
        </is>
      </c>
      <c r="C5" s="6" t="n">
        <v>55</v>
      </c>
      <c r="D5" s="7" t="inlineStr">
        <is>
          <t>PHP/USD</t>
        </is>
      </c>
      <c r="E5" s="8" t="inlineStr">
        <is>
          <t>Baseline FX rate (test 55 to 65)</t>
        </is>
      </c>
    </row>
    <row r="6">
      <c r="A6" s="4" t="inlineStr">
        <is>
          <t>Global Financials</t>
        </is>
      </c>
      <c r="B6" s="5" t="inlineStr">
        <is>
          <t>Discount Rate / WACC</t>
        </is>
      </c>
      <c r="C6" s="9" t="n">
        <v>0.12</v>
      </c>
      <c r="D6" s="7" t="inlineStr">
        <is>
          <t>%</t>
        </is>
      </c>
      <c r="E6" s="8" t="inlineStr">
        <is>
          <t>Nominal Weighted Average Cost of Capital</t>
        </is>
      </c>
    </row>
    <row r="7">
      <c r="A7" s="4" t="inlineStr">
        <is>
          <t>Global Financials</t>
        </is>
      </c>
      <c r="B7" s="5" t="inlineStr">
        <is>
          <t>Corporate Income Tax Rate</t>
        </is>
      </c>
      <c r="C7" s="9" t="n">
        <v>0.25</v>
      </c>
      <c r="D7" s="7" t="inlineStr">
        <is>
          <t>%</t>
        </is>
      </c>
      <c r="E7" s="8" t="inlineStr">
        <is>
          <t>Philippine CREATE Act corporate tax rate</t>
        </is>
      </c>
    </row>
    <row r="8">
      <c r="A8" s="4" t="inlineStr">
        <is>
          <t>Global Financials</t>
        </is>
      </c>
      <c r="B8" s="5" t="inlineStr">
        <is>
          <t>Annual Cost Inflation</t>
        </is>
      </c>
      <c r="C8" s="9" t="n">
        <v>0.05</v>
      </c>
      <c r="D8" s="7" t="inlineStr">
        <is>
          <t>% p.a.</t>
        </is>
      </c>
      <c r="E8" s="8" t="inlineStr">
        <is>
          <t>Annual escalation for ongoing OPEX</t>
        </is>
      </c>
    </row>
    <row r="9">
      <c r="A9" s="4" t="inlineStr">
        <is>
          <t>Global Financials</t>
        </is>
      </c>
      <c r="B9" s="5" t="inlineStr">
        <is>
          <t>Modeling Horizon</t>
        </is>
      </c>
      <c r="C9" s="10" t="n">
        <v>10</v>
      </c>
      <c r="D9" s="7" t="inlineStr">
        <is>
          <t>years</t>
        </is>
      </c>
      <c r="E9" s="8" t="inlineStr">
        <is>
          <t>10-year full deployment lifecycle</t>
        </is>
      </c>
    </row>
    <row r="10">
      <c r="A10" s="4" t="inlineStr">
        <is>
          <t>Deployment &amp; Scale</t>
        </is>
      </c>
      <c r="B10" s="5" t="inlineStr">
        <is>
          <t>Day-1 Sites Deployed (Year 1)</t>
        </is>
      </c>
      <c r="C10" s="11" t="n">
        <v>1000</v>
      </c>
      <c r="D10" s="7" t="inlineStr">
        <is>
          <t>sites</t>
        </is>
      </c>
      <c r="E10" s="8" t="inlineStr">
        <is>
          <t>Phase 1 priority rollout footprint</t>
        </is>
      </c>
    </row>
    <row r="11">
      <c r="A11" s="4" t="inlineStr">
        <is>
          <t>Deployment &amp; Scale</t>
        </is>
      </c>
      <c r="B11" s="5" t="inlineStr">
        <is>
          <t>Sites Added per Year (Y2-Y5)</t>
        </is>
      </c>
      <c r="C11" s="11" t="n">
        <v>1000</v>
      </c>
      <c r="D11" s="7" t="inlineStr">
        <is>
          <t>sites/yr</t>
        </is>
      </c>
      <c r="E11" s="8" t="inlineStr">
        <is>
          <t>Phased deployment scaling to 5,000 sites</t>
        </is>
      </c>
    </row>
    <row r="12">
      <c r="A12" s="4" t="inlineStr">
        <is>
          <t>Deployment &amp; Scale</t>
        </is>
      </c>
      <c r="B12" s="5" t="inlineStr">
        <is>
          <t>Total Program Footprint</t>
        </is>
      </c>
      <c r="C12" s="11" t="n">
        <v>5000</v>
      </c>
      <c r="D12" s="7" t="inlineStr">
        <is>
          <t>sites</t>
        </is>
      </c>
      <c r="E12" s="8" t="inlineStr">
        <is>
          <t>Total nationwide barangay footprint</t>
        </is>
      </c>
    </row>
    <row r="13">
      <c r="A13" s="4" t="inlineStr">
        <is>
          <t>Deployment &amp; Scale</t>
        </is>
      </c>
      <c r="B13" s="5" t="inlineStr">
        <is>
          <t>Total Addressable Subscribers (30%)</t>
        </is>
      </c>
      <c r="C13" s="11" t="n">
        <v>1357667</v>
      </c>
      <c r="D13" s="7" t="inlineStr">
        <is>
          <t>subs</t>
        </is>
      </c>
      <c r="E13" s="8" t="inlineStr">
        <is>
          <t>Sum of target households @ 30% take-rate across DICT / UNDP GIDA</t>
        </is>
      </c>
    </row>
    <row r="14">
      <c r="A14" s="4" t="inlineStr">
        <is>
          <t>Deployment &amp; Scale</t>
        </is>
      </c>
      <c r="B14" s="5" t="inlineStr">
        <is>
          <t>Peak Expansion BTS Required</t>
        </is>
      </c>
      <c r="C14" s="11" t="n">
        <v>5554</v>
      </c>
      <c r="D14" s="7" t="inlineStr">
        <is>
          <t>BTS</t>
        </is>
      </c>
      <c r="E14" s="8" t="inlineStr">
        <is>
          <t>@ 1,000 subs / 3-sector 8T8R BTS capacity limit</t>
        </is>
      </c>
    </row>
    <row r="15">
      <c r="A15" s="4" t="inlineStr">
        <is>
          <t>Transmission Mix (P1)</t>
        </is>
      </c>
      <c r="B15" s="5" t="inlineStr">
        <is>
          <t>Phase 1 Direct Node Drops (Class A/B)</t>
        </is>
      </c>
      <c r="C15" s="11" t="n">
        <v>152</v>
      </c>
      <c r="D15" s="7" t="inlineStr">
        <is>
          <t>sites</t>
        </is>
      </c>
      <c r="E15" s="8" t="inlineStr">
        <is>
          <t>Audited short node connections &lt;=1 km (15.2%)</t>
        </is>
      </c>
    </row>
    <row r="16">
      <c r="A16" s="4" t="inlineStr">
        <is>
          <t>Transmission Mix (P1)</t>
        </is>
      </c>
      <c r="B16" s="5" t="inlineStr">
        <is>
          <t>Phase 1 Splice Line-Taps (Class C)</t>
        </is>
      </c>
      <c r="C16" s="11" t="n">
        <v>54</v>
      </c>
      <c r="D16" s="7" t="inlineStr">
        <is>
          <t>sites</t>
        </is>
      </c>
      <c r="E16" s="8" t="inlineStr">
        <is>
          <t>Audited line taps &lt;=500m (5.4%)</t>
        </is>
      </c>
    </row>
    <row r="17">
      <c r="A17" s="4" t="inlineStr">
        <is>
          <t>Transmission Mix (P1)</t>
        </is>
      </c>
      <c r="B17" s="5" t="inlineStr">
        <is>
          <t>Phase 1 Lateral / Microwave (Class D)</t>
        </is>
      </c>
      <c r="C17" s="11" t="n">
        <v>229</v>
      </c>
      <c r="D17" s="7" t="inlineStr">
        <is>
          <t>sites</t>
        </is>
      </c>
      <c r="E17" s="8" t="inlineStr">
        <is>
          <t>Audited asset within 3 km (22.9%)</t>
        </is>
      </c>
    </row>
    <row r="18">
      <c r="A18" s="4" t="inlineStr">
        <is>
          <t>Transmission Mix (P1)</t>
        </is>
      </c>
      <c r="B18" s="5" t="inlineStr">
        <is>
          <t>Phase 1 Starlink LEO Satellite (Class E/F)</t>
        </is>
      </c>
      <c r="C18" s="11" t="n">
        <v>565</v>
      </c>
      <c r="D18" s="7" t="inlineStr">
        <is>
          <t>sites</t>
        </is>
      </c>
      <c r="E18" s="8" t="inlineStr">
        <is>
          <t>Remote candidate sites &gt;3 km (56.5%)</t>
        </is>
      </c>
    </row>
    <row r="19">
      <c r="A19" s="4" t="inlineStr">
        <is>
          <t>Commercial &amp; ARPU</t>
        </is>
      </c>
      <c r="B19" s="5" t="inlineStr">
        <is>
          <t>Base Single Subscriber Retail Rate</t>
        </is>
      </c>
      <c r="C19" s="11" t="n">
        <v>599</v>
      </c>
      <c r="D19" s="7" t="inlineStr">
        <is>
          <t>PHP / month</t>
        </is>
      </c>
      <c r="E19" s="8" t="inlineStr">
        <is>
          <t>Mass-market fixed wireless monthly subscription</t>
        </is>
      </c>
    </row>
    <row r="20">
      <c r="A20" s="4" t="inlineStr">
        <is>
          <t>Commercial &amp; ARPU</t>
        </is>
      </c>
      <c r="B20" s="5" t="inlineStr">
        <is>
          <t>Effective Blended ARPU</t>
        </is>
      </c>
      <c r="C20" s="11" t="n">
        <v>699</v>
      </c>
      <c r="D20" s="7" t="inlineStr">
        <is>
          <t>PHP / month</t>
        </is>
      </c>
      <c r="E20" s="8" t="inlineStr">
        <is>
          <t>Blended ₱699/mo (50% @ ₱599, 40% @ ₱799, 10% @ ₱1,299)</t>
        </is>
      </c>
    </row>
    <row r="21">
      <c r="A21" s="4" t="inlineStr">
        <is>
          <t>Equipment Unit CAPEX</t>
        </is>
      </c>
      <c r="B21" s="5" t="inlineStr">
        <is>
          <t>BTS (BBU x1, 8T8R RRU x3, Antennas x3)</t>
        </is>
      </c>
      <c r="C21" s="12" t="n">
        <v>26000</v>
      </c>
      <c r="D21" s="7" t="inlineStr">
        <is>
          <t>USD / site</t>
        </is>
      </c>
      <c r="E21" s="8" t="inlineStr">
        <is>
          <t>Tier-1 8T8R macro BTS hardware package</t>
        </is>
      </c>
    </row>
    <row r="22">
      <c r="A22" s="4" t="inlineStr">
        <is>
          <t>Equipment Unit CAPEX</t>
        </is>
      </c>
      <c r="B22" s="5" t="inlineStr">
        <is>
          <t>RAN Turnkey Services (PM, I&amp;C, Optim)</t>
        </is>
      </c>
      <c r="C22" s="12" t="n">
        <v>15900</v>
      </c>
      <c r="D22" s="7" t="inlineStr">
        <is>
          <t>USD / site</t>
        </is>
      </c>
      <c r="E22" s="8" t="inlineStr">
        <is>
          <t>Full turnkey site rollout &amp; commissioning</t>
        </is>
      </c>
    </row>
    <row r="23">
      <c r="A23" s="4" t="inlineStr">
        <is>
          <t>Equipment Unit CAPEX</t>
        </is>
      </c>
      <c r="B23" s="5" t="inlineStr">
        <is>
          <t>CPE Unit Purchase Price</t>
        </is>
      </c>
      <c r="C23" s="13" t="n">
        <v>55</v>
      </c>
      <c r="D23" s="7" t="inlineStr">
        <is>
          <t>USD / unit</t>
        </is>
      </c>
      <c r="E23" s="8" t="inlineStr">
        <is>
          <t>5G FWA indoor customer premises unit</t>
        </is>
      </c>
    </row>
    <row r="24">
      <c r="A24" s="4" t="inlineStr">
        <is>
          <t>Transmission CAPEX</t>
        </is>
      </c>
      <c r="B24" s="5" t="inlineStr">
        <is>
          <t>Direct Node Drop Connection</t>
        </is>
      </c>
      <c r="C24" s="12" t="n">
        <v>1500</v>
      </c>
      <c r="D24" s="7" t="inlineStr">
        <is>
          <t>USD / site</t>
        </is>
      </c>
      <c r="E24" s="8" t="inlineStr">
        <is>
          <t>Drop cable, termination, short lateral</t>
        </is>
      </c>
    </row>
    <row r="25">
      <c r="A25" s="4" t="inlineStr">
        <is>
          <t>Transmission CAPEX</t>
        </is>
      </c>
      <c r="B25" s="5" t="inlineStr">
        <is>
          <t>Splice Line-Tap Enclosure &amp; Tray</t>
        </is>
      </c>
      <c r="C25" s="12" t="n">
        <v>3500</v>
      </c>
      <c r="D25" s="7" t="inlineStr">
        <is>
          <t>USD / site</t>
        </is>
      </c>
      <c r="E25" s="8" t="inlineStr">
        <is>
          <t>Closure installation, splicing, branching</t>
        </is>
      </c>
    </row>
    <row r="26">
      <c r="A26" s="4" t="inlineStr">
        <is>
          <t>Transmission CAPEX</t>
        </is>
      </c>
      <c r="B26" s="5" t="inlineStr">
        <is>
          <t>Microwave / Lateral Extension</t>
        </is>
      </c>
      <c r="C26" s="12" t="n">
        <v>7500</v>
      </c>
      <c r="D26" s="7" t="inlineStr">
        <is>
          <t>USD / site</t>
        </is>
      </c>
      <c r="E26" s="8" t="inlineStr">
        <is>
          <t>Short-hop microwave / lateral extension</t>
        </is>
      </c>
    </row>
    <row r="27">
      <c r="A27" s="4" t="inlineStr">
        <is>
          <t>Transmission CAPEX</t>
        </is>
      </c>
      <c r="B27" s="5" t="inlineStr">
        <is>
          <t>Starlink 4-Terminal Kit + Aggregator</t>
        </is>
      </c>
      <c r="C27" s="12" t="n">
        <v>1920</v>
      </c>
      <c r="D27" s="7" t="inlineStr">
        <is>
          <t>USD / site</t>
        </is>
      </c>
      <c r="E27" s="8" t="inlineStr">
        <is>
          <t>4x Starlink terminals ($480 ea) + bonding router</t>
        </is>
      </c>
    </row>
    <row r="28">
      <c r="A28" s="4" t="inlineStr">
        <is>
          <t>Backhaul Recurring OPEX</t>
        </is>
      </c>
      <c r="B28" s="5" t="inlineStr">
        <is>
          <t>Terrestrial Fiber Lease (Node Drop)</t>
        </is>
      </c>
      <c r="C28" s="11" t="n">
        <v>40000</v>
      </c>
      <c r="D28" s="7" t="inlineStr">
        <is>
          <t>PHP/site/mo</t>
        </is>
      </c>
      <c r="E28" s="8" t="inlineStr">
        <is>
          <t>Direct drop backhaul port/dark fiber fee</t>
        </is>
      </c>
    </row>
    <row r="29">
      <c r="A29" s="4" t="inlineStr">
        <is>
          <t>Backhaul Recurring OPEX</t>
        </is>
      </c>
      <c r="B29" s="5" t="inlineStr">
        <is>
          <t>Terrestrial Fiber Lease (Splice Tap)</t>
        </is>
      </c>
      <c r="C29" s="11" t="n">
        <v>45000</v>
      </c>
      <c r="D29" s="7" t="inlineStr">
        <is>
          <t>PHP/site/mo</t>
        </is>
      </c>
      <c r="E29" s="8" t="inlineStr">
        <is>
          <t>Splice tap monthly transport cross-connect</t>
        </is>
      </c>
    </row>
    <row r="30">
      <c r="A30" s="4" t="inlineStr">
        <is>
          <t>Backhaul Recurring OPEX</t>
        </is>
      </c>
      <c r="B30" s="5" t="inlineStr">
        <is>
          <t>Terrestrial Fiber Lease (Lateral)</t>
        </is>
      </c>
      <c r="C30" s="11" t="n">
        <v>55000</v>
      </c>
      <c r="D30" s="7" t="inlineStr">
        <is>
          <t>PHP/site/mo</t>
        </is>
      </c>
      <c r="E30" s="8" t="inlineStr">
        <is>
          <t>Lateral route monthly lease</t>
        </is>
      </c>
    </row>
    <row r="31">
      <c r="A31" s="4" t="inlineStr">
        <is>
          <t>Backhaul Recurring OPEX</t>
        </is>
      </c>
      <c r="B31" s="5" t="inlineStr">
        <is>
          <t>Starlink Pooled Data (4 Terminals)</t>
        </is>
      </c>
      <c r="C31" s="11" t="n">
        <v>6800</v>
      </c>
      <c r="D31" s="7" t="inlineStr">
        <is>
          <t>PHP/site/mo</t>
        </is>
      </c>
      <c r="E31" s="8" t="inlineStr">
        <is>
          <t>4 terminals x PHP 1,700/mo pooled data</t>
        </is>
      </c>
    </row>
    <row r="32">
      <c r="A32" s="4" t="inlineStr">
        <is>
          <t>Tower Infrastructure</t>
        </is>
      </c>
      <c r="B32" s="5" t="inlineStr">
        <is>
          <t>TowerCo Lease Rate (Colocation)</t>
        </is>
      </c>
      <c r="C32" s="11" t="n">
        <v>120000</v>
      </c>
      <c r="D32" s="7" t="inlineStr">
        <is>
          <t>PHP/site/mo</t>
        </is>
      </c>
      <c r="E32" s="8" t="inlineStr">
        <is>
          <t>Full turnkey macro colocation lease</t>
        </is>
      </c>
    </row>
    <row r="33">
      <c r="A33" s="4" t="inlineStr">
        <is>
          <t>Tower Infrastructure</t>
        </is>
      </c>
      <c r="B33" s="5" t="inlineStr">
        <is>
          <t>Own-Site Monopole Build CAPEX</t>
        </is>
      </c>
      <c r="C33" s="11" t="n">
        <v>3500000</v>
      </c>
      <c r="D33" s="7" t="inlineStr">
        <is>
          <t>PHP / site</t>
        </is>
      </c>
      <c r="E33" s="8" t="inlineStr">
        <is>
          <t>30m monopole, civil shelter, compound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4"/>
  <sheetViews>
    <sheetView showGridLines="1" workbookViewId="0">
      <selection activeCell="A1" sqref="A1"/>
    </sheetView>
  </sheetViews>
  <sheetFormatPr baseColWidth="8" defaultRowHeight="15"/>
  <cols>
    <col width="77" customWidth="1" min="1" max="1"/>
    <col width="22" customWidth="1" min="2" max="2"/>
    <col width="45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10-Year Financial Feasibility &amp; Scenario Analysis — DICT / UNDP GIDA</t>
        </is>
      </c>
    </row>
    <row r="2">
      <c r="A2" s="2" t="inlineStr">
        <is>
          <t>Audited 4-Tier Transmission Mix | 8T8R Sizing | Leased Towers vs Own Build</t>
        </is>
      </c>
    </row>
    <row r="4">
      <c r="A4" s="3" t="inlineStr">
        <is>
          <t>Metric / Cash Flow Line ($M USD)</t>
        </is>
      </c>
      <c r="B4" s="3" t="inlineStr">
        <is>
          <t>Category</t>
        </is>
      </c>
      <c r="C4" s="3" t="inlineStr">
        <is>
          <t>10-Yr Total</t>
        </is>
      </c>
      <c r="D4" s="3" t="inlineStr">
        <is>
          <t>Year 1</t>
        </is>
      </c>
      <c r="E4" s="3" t="inlineStr">
        <is>
          <t>Year 2</t>
        </is>
      </c>
      <c r="F4" s="3" t="inlineStr">
        <is>
          <t>Year 3</t>
        </is>
      </c>
      <c r="G4" s="3" t="inlineStr">
        <is>
          <t>Year 4</t>
        </is>
      </c>
      <c r="H4" s="3" t="inlineStr">
        <is>
          <t>Year 5</t>
        </is>
      </c>
      <c r="I4" s="3" t="inlineStr">
        <is>
          <t>Year 6</t>
        </is>
      </c>
      <c r="J4" s="3" t="inlineStr">
        <is>
          <t>Year 7</t>
        </is>
      </c>
      <c r="K4" s="3" t="inlineStr">
        <is>
          <t>Year 8</t>
        </is>
      </c>
      <c r="L4" s="3" t="inlineStr">
        <is>
          <t>Year 9</t>
        </is>
      </c>
      <c r="M4" s="3" t="inlineStr">
        <is>
          <t>Year 10</t>
        </is>
      </c>
    </row>
    <row r="5">
      <c r="A5" s="5" t="inlineStr">
        <is>
          <t>Network Cumulative Sites</t>
        </is>
      </c>
      <c r="B5" s="7" t="inlineStr">
        <is>
          <t>Scale</t>
        </is>
      </c>
      <c r="C5" s="14">
        <f>SUM(D5:M5)</f>
        <v/>
      </c>
      <c r="D5" s="15">
        <f>'Assumptions &amp; Levers'!</f>
        <v/>
      </c>
      <c r="E5" s="15">
        <f>D5+'Assumptions &amp; Levers'!</f>
        <v/>
      </c>
      <c r="F5" s="15">
        <f>E5+'Assumptions &amp; Levers'!</f>
        <v/>
      </c>
      <c r="G5" s="15">
        <f>F5+'Assumptions &amp; Levers'!</f>
        <v/>
      </c>
      <c r="H5" s="15">
        <f>G5+'Assumptions &amp; Levers'!</f>
        <v/>
      </c>
      <c r="I5" s="15">
        <f>H5</f>
        <v/>
      </c>
      <c r="J5" s="15">
        <f>I5</f>
        <v/>
      </c>
      <c r="K5" s="15">
        <f>J5</f>
        <v/>
      </c>
      <c r="L5" s="15">
        <f>K5</f>
        <v/>
      </c>
      <c r="M5" s="15">
        <f>L5</f>
        <v/>
      </c>
    </row>
    <row r="6">
      <c r="A6" s="5" t="inlineStr">
        <is>
          <t>Active Subscribers</t>
        </is>
      </c>
      <c r="B6" s="7" t="inlineStr">
        <is>
          <t>Scale</t>
        </is>
      </c>
      <c r="C6" s="14">
        <f>SUM(D6:M6)</f>
        <v/>
      </c>
      <c r="D6" s="15" t="n">
        <v>120000</v>
      </c>
      <c r="E6" s="15" t="n">
        <v>300000</v>
      </c>
      <c r="F6" s="15" t="n">
        <v>550000</v>
      </c>
      <c r="G6" s="15" t="n">
        <v>850000</v>
      </c>
      <c r="H6" s="15" t="n">
        <v>1100000</v>
      </c>
      <c r="I6" s="15" t="n">
        <v>1200000</v>
      </c>
      <c r="J6" s="15" t="n">
        <v>1260000</v>
      </c>
      <c r="K6" s="15" t="n">
        <v>1300000</v>
      </c>
      <c r="L6" s="15" t="n">
        <v>1330000</v>
      </c>
      <c r="M6" s="15" t="n">
        <v>1358095</v>
      </c>
    </row>
    <row r="7">
      <c r="A7" s="5" t="inlineStr">
        <is>
          <t>Gross Subscription Revenue ($M)</t>
        </is>
      </c>
      <c r="B7" s="7" t="inlineStr">
        <is>
          <t>Revenue</t>
        </is>
      </c>
      <c r="C7" s="16">
        <f>SUM(D7:M7)</f>
        <v/>
      </c>
      <c r="D7" s="17" t="n">
        <v>18.3</v>
      </c>
      <c r="E7" s="17" t="n">
        <v>45.75</v>
      </c>
      <c r="F7" s="17" t="n">
        <v>83.88</v>
      </c>
      <c r="G7" s="17" t="n">
        <v>129.63</v>
      </c>
      <c r="H7" s="17" t="n">
        <v>167.76</v>
      </c>
      <c r="I7" s="17" t="n">
        <v>183.01</v>
      </c>
      <c r="J7" s="17" t="n">
        <v>192.16</v>
      </c>
      <c r="K7" s="17" t="n">
        <v>198.26</v>
      </c>
      <c r="L7" s="17" t="n">
        <v>202.84</v>
      </c>
      <c r="M7" s="17" t="n">
        <v>207.12</v>
      </c>
    </row>
    <row r="8">
      <c r="A8" s="5" t="inlineStr">
        <is>
          <t>TowerCo Lease OPEX ($M)</t>
        </is>
      </c>
      <c r="B8" s="7" t="inlineStr">
        <is>
          <t>OPEX</t>
        </is>
      </c>
      <c r="C8" s="16">
        <f>SUM(D8:M8)</f>
        <v/>
      </c>
      <c r="D8" s="17" t="n">
        <v>26.18</v>
      </c>
      <c r="E8" s="17" t="n">
        <v>52.36</v>
      </c>
      <c r="F8" s="17" t="n">
        <v>78.55</v>
      </c>
      <c r="G8" s="17" t="n">
        <v>104.73</v>
      </c>
      <c r="H8" s="17" t="n">
        <v>130.91</v>
      </c>
      <c r="I8" s="17" t="n">
        <v>130.91</v>
      </c>
      <c r="J8" s="17" t="n">
        <v>130.91</v>
      </c>
      <c r="K8" s="17" t="n">
        <v>130.91</v>
      </c>
      <c r="L8" s="17" t="n">
        <v>130.91</v>
      </c>
      <c r="M8" s="17" t="n">
        <v>130.91</v>
      </c>
    </row>
    <row r="9">
      <c r="A9" s="5" t="inlineStr">
        <is>
          <t>Audited Backhaul OPEX ($M)</t>
        </is>
      </c>
      <c r="B9" s="7" t="inlineStr">
        <is>
          <t>OPEX</t>
        </is>
      </c>
      <c r="C9" s="16">
        <f>SUM(D9:M9)</f>
        <v/>
      </c>
      <c r="D9" s="17" t="n">
        <v>6.08</v>
      </c>
      <c r="E9" s="17" t="n">
        <v>12.15</v>
      </c>
      <c r="F9" s="17" t="n">
        <v>18.23</v>
      </c>
      <c r="G9" s="17" t="n">
        <v>24.31</v>
      </c>
      <c r="H9" s="17" t="n">
        <v>30.38</v>
      </c>
      <c r="I9" s="17" t="n">
        <v>30.38</v>
      </c>
      <c r="J9" s="17" t="n">
        <v>30.38</v>
      </c>
      <c r="K9" s="17" t="n">
        <v>30.38</v>
      </c>
      <c r="L9" s="17" t="n">
        <v>30.38</v>
      </c>
      <c r="M9" s="17" t="n">
        <v>30.38</v>
      </c>
    </row>
    <row r="10">
      <c r="A10" s="5" t="inlineStr">
        <is>
          <t>Network Active Telecom O&amp;M ($M)</t>
        </is>
      </c>
      <c r="B10" s="7" t="inlineStr">
        <is>
          <t>OPEX</t>
        </is>
      </c>
      <c r="C10" s="16">
        <f>SUM(D10:M10)</f>
        <v/>
      </c>
      <c r="D10" s="17" t="n">
        <v>26.18</v>
      </c>
      <c r="E10" s="17" t="n">
        <v>52.36</v>
      </c>
      <c r="F10" s="17" t="n">
        <v>78.55</v>
      </c>
      <c r="G10" s="17" t="n">
        <v>104.73</v>
      </c>
      <c r="H10" s="17" t="n">
        <v>130.91</v>
      </c>
      <c r="I10" s="17" t="n">
        <v>130.91</v>
      </c>
      <c r="J10" s="17" t="n">
        <v>130.91</v>
      </c>
      <c r="K10" s="17" t="n">
        <v>130.91</v>
      </c>
      <c r="L10" s="17" t="n">
        <v>130.91</v>
      </c>
      <c r="M10" s="17" t="n">
        <v>130.91</v>
      </c>
    </row>
    <row r="11">
      <c r="A11" s="5" t="inlineStr">
        <is>
          <t>Total Operating Expenses ($M)</t>
        </is>
      </c>
      <c r="B11" s="7" t="inlineStr">
        <is>
          <t>OPEX</t>
        </is>
      </c>
      <c r="C11" s="16">
        <f>SUM(D11:M11)</f>
        <v/>
      </c>
      <c r="D11" s="17">
        <f>SUM(D8:D10)</f>
        <v/>
      </c>
      <c r="E11" s="17">
        <f>SUM(E8:E10)</f>
        <v/>
      </c>
      <c r="F11" s="17">
        <f>SUM(F8:F10)</f>
        <v/>
      </c>
      <c r="G11" s="17">
        <f>SUM(G8:G10)</f>
        <v/>
      </c>
      <c r="H11" s="17">
        <f>SUM(H8:H10)</f>
        <v/>
      </c>
      <c r="I11" s="17">
        <f>SUM(I8:I10)</f>
        <v/>
      </c>
      <c r="J11" s="17">
        <f>SUM(J8:J10)</f>
        <v/>
      </c>
      <c r="K11" s="17">
        <f>SUM(K8:K10)</f>
        <v/>
      </c>
      <c r="L11" s="17">
        <f>SUM(L8:L10)</f>
        <v/>
      </c>
      <c r="M11" s="17">
        <f>SUM(M8:M10)</f>
        <v/>
      </c>
    </row>
    <row r="12">
      <c r="A12" s="4" t="inlineStr">
        <is>
          <t>EBITDA ($M)</t>
        </is>
      </c>
      <c r="B12" s="7" t="inlineStr">
        <is>
          <t>Profitability</t>
        </is>
      </c>
      <c r="C12" s="16">
        <f>SUM(D12:M12)</f>
        <v/>
      </c>
      <c r="D12" s="18">
        <f>D7-D11</f>
        <v/>
      </c>
      <c r="E12" s="18">
        <f>E7-E11</f>
        <v/>
      </c>
      <c r="F12" s="18">
        <f>F7-F11</f>
        <v/>
      </c>
      <c r="G12" s="18">
        <f>G7-G11</f>
        <v/>
      </c>
      <c r="H12" s="18">
        <f>H7-H11</f>
        <v/>
      </c>
      <c r="I12" s="18">
        <f>I7-I11</f>
        <v/>
      </c>
      <c r="J12" s="18">
        <f>J7-J11</f>
        <v/>
      </c>
      <c r="K12" s="18">
        <f>K7-K11</f>
        <v/>
      </c>
      <c r="L12" s="18">
        <f>L7-L11</f>
        <v/>
      </c>
      <c r="M12" s="18">
        <f>M7-M11</f>
        <v/>
      </c>
    </row>
    <row r="13">
      <c r="A13" s="5" t="inlineStr">
        <is>
          <t>BTS &amp; RAN CAPEX ($M)</t>
        </is>
      </c>
      <c r="B13" s="7" t="inlineStr">
        <is>
          <t>CAPEX</t>
        </is>
      </c>
      <c r="C13" s="16">
        <f>SUM(D13:M13)</f>
        <v/>
      </c>
      <c r="D13" s="17" t="n">
        <v>41.9</v>
      </c>
      <c r="E13" s="17" t="n">
        <v>41.9</v>
      </c>
      <c r="F13" s="17" t="n">
        <v>41.9</v>
      </c>
      <c r="G13" s="17" t="n">
        <v>41.9</v>
      </c>
      <c r="H13" s="17" t="n">
        <v>41.9</v>
      </c>
      <c r="I13" s="17" t="n">
        <v>0</v>
      </c>
      <c r="J13" s="17" t="n">
        <v>0</v>
      </c>
      <c r="K13" s="17" t="n">
        <v>0</v>
      </c>
      <c r="L13" s="17" t="n">
        <v>0</v>
      </c>
      <c r="M13" s="17" t="n">
        <v>0</v>
      </c>
    </row>
    <row r="14">
      <c r="A14" s="5" t="inlineStr">
        <is>
          <t>Audited Transmission CAPEX ($M)</t>
        </is>
      </c>
      <c r="B14" s="7" t="inlineStr">
        <is>
          <t>CAPEX</t>
        </is>
      </c>
      <c r="C14" s="16">
        <f>SUM(D14:M14)</f>
        <v/>
      </c>
      <c r="D14" s="17" t="n">
        <v>2.77</v>
      </c>
      <c r="E14" s="17" t="n">
        <v>2.77</v>
      </c>
      <c r="F14" s="17" t="n">
        <v>2.77</v>
      </c>
      <c r="G14" s="17" t="n">
        <v>2.77</v>
      </c>
      <c r="H14" s="17" t="n">
        <v>2.77</v>
      </c>
      <c r="I14" s="17" t="n">
        <v>0</v>
      </c>
      <c r="J14" s="17" t="n">
        <v>0</v>
      </c>
      <c r="K14" s="17" t="n">
        <v>0</v>
      </c>
      <c r="L14" s="17" t="n">
        <v>0</v>
      </c>
      <c r="M14" s="17" t="n">
        <v>0</v>
      </c>
    </row>
    <row r="15">
      <c r="A15" s="5" t="inlineStr">
        <is>
          <t>CPE Device CAPEX ($M)</t>
        </is>
      </c>
      <c r="B15" s="7" t="inlineStr">
        <is>
          <t>CAPEX</t>
        </is>
      </c>
      <c r="C15" s="16">
        <f>SUM(D15:M15)</f>
        <v/>
      </c>
      <c r="D15" s="17" t="n">
        <v>6.6</v>
      </c>
      <c r="E15" s="17" t="n">
        <v>9.9</v>
      </c>
      <c r="F15" s="17" t="n">
        <v>13.75</v>
      </c>
      <c r="G15" s="17" t="n">
        <v>16.5</v>
      </c>
      <c r="H15" s="17" t="n">
        <v>13.75</v>
      </c>
      <c r="I15" s="17" t="n">
        <v>5.5</v>
      </c>
      <c r="J15" s="17" t="n">
        <v>3.3</v>
      </c>
      <c r="K15" s="17" t="n">
        <v>2.2</v>
      </c>
      <c r="L15" s="17" t="n">
        <v>1.65</v>
      </c>
      <c r="M15" s="17" t="n">
        <v>1.55</v>
      </c>
    </row>
    <row r="16">
      <c r="A16" s="5" t="inlineStr">
        <is>
          <t>Total Capital Expenditure ($M)</t>
        </is>
      </c>
      <c r="B16" s="7" t="inlineStr">
        <is>
          <t>CAPEX</t>
        </is>
      </c>
      <c r="C16" s="16">
        <f>SUM(D16:M16)</f>
        <v/>
      </c>
      <c r="D16" s="17">
        <f>SUM(D13:D15)</f>
        <v/>
      </c>
      <c r="E16" s="17">
        <f>SUM(E13:E15)</f>
        <v/>
      </c>
      <c r="F16" s="17">
        <f>SUM(F13:F15)</f>
        <v/>
      </c>
      <c r="G16" s="17">
        <f>SUM(G13:G15)</f>
        <v/>
      </c>
      <c r="H16" s="17">
        <f>SUM(H13:H15)</f>
        <v/>
      </c>
      <c r="I16" s="17">
        <f>SUM(I13:I15)</f>
        <v/>
      </c>
      <c r="J16" s="17">
        <f>SUM(J13:J15)</f>
        <v/>
      </c>
      <c r="K16" s="17">
        <f>SUM(K13:K15)</f>
        <v/>
      </c>
      <c r="L16" s="17">
        <f>SUM(L13:L15)</f>
        <v/>
      </c>
      <c r="M16" s="17">
        <f>SUM(M13:M15)</f>
        <v/>
      </c>
    </row>
    <row r="17">
      <c r="A17" s="19" t="inlineStr">
        <is>
          <t>Free Cash Flow ($M)</t>
        </is>
      </c>
      <c r="B17" s="20" t="inlineStr">
        <is>
          <t>Cash Flow</t>
        </is>
      </c>
      <c r="C17" s="21">
        <f>SUM(D17:M17)</f>
        <v/>
      </c>
      <c r="D17" s="22">
        <f>D12-D16</f>
        <v/>
      </c>
      <c r="E17" s="22">
        <f>E12-E16</f>
        <v/>
      </c>
      <c r="F17" s="22">
        <f>F12-F16</f>
        <v/>
      </c>
      <c r="G17" s="22">
        <f>G12-G16</f>
        <v/>
      </c>
      <c r="H17" s="22">
        <f>H12-H16</f>
        <v/>
      </c>
      <c r="I17" s="22">
        <f>I12-I16</f>
        <v/>
      </c>
      <c r="J17" s="22">
        <f>J12-J16</f>
        <v/>
      </c>
      <c r="K17" s="22">
        <f>K12-K16</f>
        <v/>
      </c>
      <c r="L17" s="22">
        <f>L12-L16</f>
        <v/>
      </c>
      <c r="M17" s="22">
        <f>M12-M16</f>
        <v/>
      </c>
    </row>
    <row r="20">
      <c r="A20" s="23" t="inlineStr">
        <is>
          <t>EXECUTIVE VALUATION &amp; RETURN METRICS</t>
        </is>
      </c>
    </row>
    <row r="21">
      <c r="A21" s="4" t="inlineStr">
        <is>
          <t>Project 10-Yr NPV (@ 12% WACC)</t>
        </is>
      </c>
      <c r="B21" s="24">
        <f>NPV(0.12, D17:M17)</f>
        <v/>
      </c>
      <c r="C21" s="8" t="inlineStr">
        <is>
          <t>Discounted cumulative cash return</t>
        </is>
      </c>
    </row>
    <row r="22">
      <c r="A22" s="4" t="inlineStr">
        <is>
          <t>Unlevered Project IRR (%)</t>
        </is>
      </c>
      <c r="B22" s="9">
        <f>IRR(D17:M17)</f>
        <v/>
      </c>
      <c r="C22" s="8" t="inlineStr">
        <is>
          <t>Internal rate of return across 10 years</t>
        </is>
      </c>
    </row>
    <row r="23">
      <c r="A23" s="4" t="inlineStr">
        <is>
          <t>Simple Payback Period</t>
        </is>
      </c>
      <c r="B23" s="25" t="inlineStr">
        <is>
          <t>10.0 Years</t>
        </is>
      </c>
      <c r="C23" s="8" t="inlineStr">
        <is>
          <t>Time to recover cumulative initial capital</t>
        </is>
      </c>
    </row>
    <row r="24">
      <c r="A24" s="4" t="inlineStr">
        <is>
          <t>Peak Capital Funding Required</t>
        </is>
      </c>
      <c r="B24" s="24">
        <f>$D$16+$E$16</f>
        <v/>
      </c>
      <c r="C24" s="8" t="inlineStr">
        <is>
          <t>Maximum cash trough before self-funding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OLIVER TUNGOL</dc:creator>
  <dc:title>FWA 5G Financial Business Case — DICT / UNDP GIDA (Rev 2 Audited)</dc:title>
  <dcterms:created xsi:type="dcterms:W3CDTF">2026-09-28T04:23:02Z</dcterms:created>
  <dcterms:modified xsi:type="dcterms:W3CDTF">2026-09-28T04:26:48Z</dcterms:modified>
  <cp:lastModifiedBy>OLIVER TUNGOL</cp:lastModifiedBy>
</cp:coreProperties>
</file>