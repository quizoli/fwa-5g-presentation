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D:\00 FIES FILES\2026 FIES\01 - FIES Press Release\Approved 2025 FIES National and Regional to HUC Levels\National Statistical Tables\"/>
    </mc:Choice>
  </mc:AlternateContent>
  <xr:revisionPtr revIDLastSave="0" documentId="8_{F0D5F75B-7277-40BF-9C66-C454A50A6B4E}" xr6:coauthVersionLast="47" xr6:coauthVersionMax="47" xr10:uidLastSave="{00000000-0000-0000-0000-000000000000}"/>
  <bookViews>
    <workbookView xWindow="-120" yWindow="-120" windowWidth="29040" windowHeight="15720" xr2:uid="{F9FBE8BD-E9E1-42B3-9099-819F4A17DB66}"/>
  </bookViews>
  <sheets>
    <sheet name="Table 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1" l="1"/>
  <c r="P17" i="1"/>
  <c r="O17" i="1"/>
  <c r="N17" i="1"/>
  <c r="M17" i="1"/>
  <c r="L17" i="1"/>
  <c r="Q16" i="1"/>
  <c r="P16" i="1"/>
  <c r="O16" i="1"/>
  <c r="N16" i="1"/>
  <c r="M16" i="1"/>
  <c r="L16" i="1"/>
  <c r="Q15" i="1"/>
  <c r="P15" i="1"/>
  <c r="O15" i="1"/>
  <c r="N15" i="1"/>
  <c r="M15" i="1"/>
  <c r="L15" i="1"/>
  <c r="Q14" i="1"/>
  <c r="P14" i="1"/>
  <c r="O14" i="1"/>
  <c r="N14" i="1"/>
  <c r="M14" i="1"/>
  <c r="L14" i="1"/>
  <c r="Q13" i="1"/>
  <c r="P13" i="1"/>
  <c r="O13" i="1"/>
  <c r="N13" i="1"/>
  <c r="M13" i="1"/>
  <c r="L13" i="1"/>
  <c r="Q12" i="1"/>
  <c r="P12" i="1"/>
  <c r="O12" i="1"/>
  <c r="N12" i="1"/>
  <c r="M12" i="1"/>
  <c r="L12" i="1"/>
  <c r="Q11" i="1"/>
  <c r="P11" i="1"/>
  <c r="O11" i="1"/>
  <c r="N11" i="1"/>
  <c r="M11" i="1"/>
  <c r="L11" i="1"/>
  <c r="Q10" i="1"/>
  <c r="P10" i="1"/>
  <c r="O10" i="1"/>
  <c r="N10" i="1"/>
  <c r="M10" i="1"/>
  <c r="L10" i="1"/>
  <c r="Q9" i="1"/>
  <c r="P9" i="1"/>
  <c r="O9" i="1"/>
  <c r="N9" i="1"/>
  <c r="M9" i="1"/>
  <c r="L9" i="1"/>
  <c r="Q8" i="1"/>
  <c r="P8" i="1"/>
  <c r="O8" i="1"/>
  <c r="N8" i="1"/>
  <c r="M8" i="1"/>
  <c r="L8" i="1"/>
  <c r="Q7" i="1"/>
  <c r="P7" i="1"/>
  <c r="O7" i="1"/>
  <c r="N7" i="1"/>
  <c r="M7" i="1"/>
  <c r="L7" i="1"/>
</calcChain>
</file>

<file path=xl/sharedStrings.xml><?xml version="1.0" encoding="utf-8"?>
<sst xmlns="http://schemas.openxmlformats.org/spreadsheetml/2006/main" count="32" uniqueCount="26">
  <si>
    <r>
      <t>Table A. Number of Families, Average Annual Family Income and Expenditure by Income Decile, Philippines:  2021, 2023, and 2025</t>
    </r>
    <r>
      <rPr>
        <b/>
        <vertAlign val="superscript"/>
        <sz val="12"/>
        <color theme="1"/>
        <rFont val="Arial"/>
        <family val="2"/>
      </rPr>
      <t>P</t>
    </r>
  </si>
  <si>
    <t>Income Decile</t>
  </si>
  <si>
    <t>Number of Families 
(In thousands)</t>
  </si>
  <si>
    <t>Average Annual Family Income
(in thousand PhP)</t>
  </si>
  <si>
    <t>Average Annual Family Expenditure
(in thousand PhP)</t>
  </si>
  <si>
    <t>Percent Change (%)</t>
  </si>
  <si>
    <t>2025ᴾ</t>
  </si>
  <si>
    <t>Number of Families</t>
  </si>
  <si>
    <t>Average Annual Family Income</t>
  </si>
  <si>
    <t>Average Annual Family Expenditure</t>
  </si>
  <si>
    <t>2021-2023</t>
  </si>
  <si>
    <t>2023-2025</t>
  </si>
  <si>
    <t>All Income Groups</t>
  </si>
  <si>
    <t>First Decile</t>
  </si>
  <si>
    <t>Second Decile</t>
  </si>
  <si>
    <t>Third Decile</t>
  </si>
  <si>
    <t>Fourth Decile</t>
  </si>
  <si>
    <t>Fifth Decile</t>
  </si>
  <si>
    <t>Sixth Decile</t>
  </si>
  <si>
    <t>Seventh Decile</t>
  </si>
  <si>
    <t>Eighth Decile</t>
  </si>
  <si>
    <t>Ninth Decile</t>
  </si>
  <si>
    <t>Tenth Decile</t>
  </si>
  <si>
    <t>P - Estimates are preliminary and may change</t>
  </si>
  <si>
    <t>Note: Income deciles are based on the average annual per capita income in 2025, with the 1st  income decile having the lowest average annual per capita income and the 10th  income decile having the highest average annual per capita income.</t>
  </si>
  <si>
    <t>Source: Family Income and Expenditure Survey, Philippine Statistics Authority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</si>
</sst>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_-;\-* #,##0_-;_-* &quot;-&quot;??_-;_-@_-"/>
    <numFmt numFmtId="165" formatCode="_-* #,##0.00_-;\-* #,##0.00_-;_-* &quot;-&quot;??_-;_-@"/>
    <numFmt numFmtId="166" formatCode="0.0"/>
  </numFmts>
  <fonts count="9" x14ac:knownFonts="1">
    <font>
      <sz val="11"/>
      <color theme="1"/>
      <name val="Aptos Narrow"/>
      <scheme val="minor"/>
    </font>
    <font>
      <sz val="11"/>
      <color theme="1"/>
      <name val="Aptos Narrow"/>
      <family val="2"/>
      <scheme val="minor"/>
    </font>
    <font>
      <sz val="12"/>
      <color theme="1"/>
      <name val="Arial"/>
      <family val="2"/>
    </font>
    <font>
      <b/>
      <sz val="12"/>
      <color theme="1"/>
      <name val="Arial"/>
      <family val="2"/>
    </font>
    <font>
      <b/>
      <vertAlign val="superscript"/>
      <sz val="12"/>
      <color theme="1"/>
      <name val="Arial"/>
      <family val="2"/>
    </font>
    <font>
      <sz val="12"/>
      <name val="Arial"/>
      <family val="2"/>
    </font>
    <font>
      <b/>
      <sz val="12"/>
      <color rgb="FF000000"/>
      <name val="Arial"/>
      <family val="2"/>
    </font>
    <font>
      <sz val="12"/>
      <color rgb="FF000000"/>
      <name val="Arial"/>
      <family val="2"/>
    </font>
    <font>
      <i/>
      <sz val="9"/>
      <color theme="1"/>
      <name val="Arial"/>
      <family val="2"/>
    </font>
  </fonts>
  <fills count="2">
    <fill>
      <patternFill patternType="none"/>
    </fill>
    <fill>
      <patternFill patternType="gray125"/>
    </fill>
  </fills>
  <borders count="11">
    <border>
      <left/>
      <right/>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bottom style="medium">
        <color rgb="FF000000"/>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0" xfId="0" applyFont="1" applyAlignment="1">
      <alignment horizontal="center" vertical="center"/>
    </xf>
    <xf numFmtId="0" fontId="3" fillId="0" borderId="0" xfId="0" applyFont="1" applyAlignment="1">
      <alignment horizontal="center"/>
    </xf>
    <xf numFmtId="0" fontId="2" fillId="0" borderId="0" xfId="0" applyFont="1"/>
    <xf numFmtId="0" fontId="2" fillId="0" borderId="0" xfId="0" applyFont="1" applyAlignment="1">
      <alignment horizontal="center" wrapText="1"/>
    </xf>
    <xf numFmtId="0" fontId="3" fillId="0" borderId="0" xfId="0" applyFont="1" applyAlignment="1">
      <alignment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5" fillId="0" borderId="3" xfId="0" applyFont="1" applyBorder="1"/>
    <xf numFmtId="0" fontId="5" fillId="0" borderId="4" xfId="0" applyFont="1" applyBorder="1"/>
    <xf numFmtId="0" fontId="3" fillId="0" borderId="3" xfId="0" applyFont="1" applyBorder="1" applyAlignment="1">
      <alignment horizontal="center" vertical="center" wrapText="1"/>
    </xf>
    <xf numFmtId="0" fontId="2" fillId="0" borderId="0" xfId="0" applyFont="1" applyAlignment="1">
      <alignment vertical="center"/>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49" fontId="3" fillId="0" borderId="6" xfId="0" applyNumberFormat="1" applyFont="1" applyBorder="1" applyAlignment="1">
      <alignment horizontal="center" vertical="center" wrapText="1"/>
    </xf>
    <xf numFmtId="0" fontId="3" fillId="0" borderId="7" xfId="0" applyFont="1" applyBorder="1" applyAlignment="1">
      <alignment horizontal="center" vertical="center" wrapText="1"/>
    </xf>
    <xf numFmtId="0" fontId="5" fillId="0" borderId="8" xfId="0" applyFont="1" applyBorder="1"/>
    <xf numFmtId="0" fontId="3" fillId="0" borderId="9" xfId="0" applyFont="1" applyBorder="1" applyAlignment="1">
      <alignment horizontal="center" vertical="center"/>
    </xf>
    <xf numFmtId="0" fontId="3" fillId="0" borderId="2" xfId="0" applyFont="1" applyBorder="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6" fillId="0" borderId="0" xfId="0" applyFont="1" applyAlignment="1">
      <alignment vertical="center"/>
    </xf>
    <xf numFmtId="164" fontId="3" fillId="0" borderId="0" xfId="1" applyNumberFormat="1" applyFont="1" applyAlignment="1">
      <alignment horizontal="left" indent="2"/>
    </xf>
    <xf numFmtId="164" fontId="6" fillId="0" borderId="0" xfId="1" applyNumberFormat="1" applyFont="1" applyAlignment="1">
      <alignment horizontal="left" vertical="center" indent="2"/>
    </xf>
    <xf numFmtId="165" fontId="3" fillId="0" borderId="0" xfId="0" applyNumberFormat="1" applyFont="1" applyAlignment="1">
      <alignment horizontal="right" vertical="center"/>
    </xf>
    <xf numFmtId="0" fontId="3" fillId="0" borderId="0" xfId="0" applyFont="1" applyAlignment="1">
      <alignment horizontal="right" vertical="center"/>
    </xf>
    <xf numFmtId="165" fontId="3" fillId="0" borderId="0" xfId="0" applyNumberFormat="1" applyFont="1"/>
    <xf numFmtId="43" fontId="3" fillId="0" borderId="0" xfId="1" applyFont="1"/>
    <xf numFmtId="166" fontId="3" fillId="0" borderId="0" xfId="0" applyNumberFormat="1" applyFont="1"/>
    <xf numFmtId="0" fontId="7" fillId="0" borderId="0" xfId="0" applyFont="1" applyAlignment="1">
      <alignment horizontal="left" vertical="center" indent="1"/>
    </xf>
    <xf numFmtId="164" fontId="2" fillId="0" borderId="0" xfId="1" applyNumberFormat="1" applyFont="1" applyAlignment="1">
      <alignment horizontal="left" indent="2"/>
    </xf>
    <xf numFmtId="164" fontId="7" fillId="0" borderId="0" xfId="1" applyNumberFormat="1" applyFont="1" applyAlignment="1">
      <alignment horizontal="left" vertical="center" indent="2"/>
    </xf>
    <xf numFmtId="165" fontId="2" fillId="0" borderId="0" xfId="0" applyNumberFormat="1" applyFont="1" applyAlignment="1">
      <alignment horizontal="right" vertical="center"/>
    </xf>
    <xf numFmtId="0" fontId="2" fillId="0" borderId="0" xfId="0" applyFont="1" applyAlignment="1">
      <alignment horizontal="right" vertical="center"/>
    </xf>
    <xf numFmtId="4" fontId="2" fillId="0" borderId="0" xfId="0" applyNumberFormat="1" applyFont="1" applyAlignment="1">
      <alignment horizontal="right" vertical="center"/>
    </xf>
    <xf numFmtId="43" fontId="2" fillId="0" borderId="0" xfId="1" applyFont="1"/>
    <xf numFmtId="166" fontId="2" fillId="0" borderId="0" xfId="0" applyNumberFormat="1" applyFont="1"/>
    <xf numFmtId="0" fontId="7" fillId="0" borderId="10" xfId="0" applyFont="1" applyBorder="1" applyAlignment="1">
      <alignment horizontal="left" vertical="center" indent="1"/>
    </xf>
    <xf numFmtId="164" fontId="2" fillId="0" borderId="10" xfId="1" applyNumberFormat="1" applyFont="1" applyBorder="1" applyAlignment="1">
      <alignment horizontal="left" indent="2"/>
    </xf>
    <xf numFmtId="164" fontId="7" fillId="0" borderId="10" xfId="1" applyNumberFormat="1" applyFont="1" applyBorder="1" applyAlignment="1">
      <alignment horizontal="left" vertical="center" indent="2"/>
    </xf>
    <xf numFmtId="165" fontId="2" fillId="0" borderId="10" xfId="0" applyNumberFormat="1" applyFont="1" applyBorder="1" applyAlignment="1">
      <alignment horizontal="right" vertical="center"/>
    </xf>
    <xf numFmtId="0" fontId="2" fillId="0" borderId="10" xfId="0" applyFont="1" applyBorder="1" applyAlignment="1">
      <alignment horizontal="right" vertical="center"/>
    </xf>
    <xf numFmtId="4" fontId="2" fillId="0" borderId="10" xfId="0" applyNumberFormat="1" applyFont="1" applyBorder="1" applyAlignment="1">
      <alignment horizontal="right" vertical="center"/>
    </xf>
    <xf numFmtId="43" fontId="2" fillId="0" borderId="10" xfId="1" applyFont="1" applyBorder="1"/>
    <xf numFmtId="166" fontId="2" fillId="0" borderId="10" xfId="0" applyNumberFormat="1" applyFont="1" applyBorder="1"/>
    <xf numFmtId="0" fontId="8" fillId="0" borderId="0" xfId="0" applyFont="1"/>
    <xf numFmtId="165" fontId="2" fillId="0" borderId="0" xfId="0" applyNumberFormat="1" applyFont="1"/>
    <xf numFmtId="165" fontId="7" fillId="0" borderId="0" xfId="0" applyNumberFormat="1" applyFont="1" applyAlignment="1">
      <alignment horizontal="right" vertical="center"/>
    </xf>
    <xf numFmtId="4" fontId="2" fillId="0" borderId="0" xfId="0" applyNumberFormat="1" applyFont="1"/>
  </cellXfs>
  <cellStyles count="2">
    <cellStyle name="Comma" xfId="1" builtinId="3"/>
    <cellStyle name="Normal" xfId="0" builtinId="0"/>
  </cellStyles>
  <dxfs count="2">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0BAB-69C2-4C6E-8704-6BB8E0D5AD62}">
  <sheetPr>
    <pageSetUpPr fitToPage="1"/>
  </sheetPr>
  <dimension ref="A1:R1000"/>
  <sheetViews>
    <sheetView showGridLines="0" tabSelected="1" zoomScale="75" zoomScaleNormal="110" workbookViewId="0">
      <selection activeCell="B1" sqref="B1:Q1"/>
    </sheetView>
  </sheetViews>
  <sheetFormatPr defaultColWidth="12.7109375" defaultRowHeight="15" customHeight="1" x14ac:dyDescent="0.2"/>
  <cols>
    <col min="1" max="1" width="5.7109375" style="3" customWidth="1"/>
    <col min="2" max="2" width="31.28515625" style="3" customWidth="1"/>
    <col min="3" max="5" width="16.7109375" style="3" customWidth="1"/>
    <col min="6" max="11" width="16.140625" style="3" customWidth="1"/>
    <col min="12" max="17" width="15.28515625" style="3" customWidth="1"/>
    <col min="18" max="16384" width="12.7109375" style="3"/>
  </cols>
  <sheetData>
    <row r="1" spans="1:18" ht="18.75" x14ac:dyDescent="0.25">
      <c r="A1" s="1"/>
      <c r="B1" s="2" t="s">
        <v>0</v>
      </c>
      <c r="C1" s="2"/>
      <c r="D1" s="2"/>
      <c r="E1" s="2"/>
      <c r="F1" s="2"/>
      <c r="G1" s="2"/>
      <c r="H1" s="2"/>
      <c r="I1" s="2"/>
      <c r="J1" s="2"/>
      <c r="K1" s="2"/>
      <c r="L1" s="2"/>
      <c r="M1" s="2"/>
      <c r="N1" s="2"/>
      <c r="O1" s="2"/>
      <c r="P1" s="2"/>
      <c r="Q1" s="2"/>
    </row>
    <row r="2" spans="1:18" ht="16.5" thickBot="1" x14ac:dyDescent="0.25">
      <c r="B2" s="4"/>
      <c r="C2" s="4"/>
      <c r="D2" s="4"/>
      <c r="E2" s="4"/>
      <c r="F2" s="4"/>
      <c r="G2" s="4"/>
      <c r="H2" s="4"/>
      <c r="I2" s="5"/>
    </row>
    <row r="3" spans="1:18" ht="39.6" customHeight="1" thickBot="1" x14ac:dyDescent="0.25">
      <c r="B3" s="6" t="s">
        <v>1</v>
      </c>
      <c r="C3" s="7" t="s">
        <v>2</v>
      </c>
      <c r="D3" s="8"/>
      <c r="E3" s="9"/>
      <c r="F3" s="7" t="s">
        <v>3</v>
      </c>
      <c r="G3" s="8"/>
      <c r="H3" s="9"/>
      <c r="I3" s="7" t="s">
        <v>4</v>
      </c>
      <c r="J3" s="8"/>
      <c r="K3" s="9"/>
      <c r="L3" s="10" t="s">
        <v>5</v>
      </c>
      <c r="M3" s="8"/>
      <c r="N3" s="8"/>
      <c r="O3" s="8"/>
      <c r="P3" s="8"/>
      <c r="Q3" s="8"/>
    </row>
    <row r="4" spans="1:18" ht="40.9" customHeight="1" thickBot="1" x14ac:dyDescent="0.25">
      <c r="A4" s="11"/>
      <c r="B4" s="12"/>
      <c r="C4" s="13">
        <v>2021</v>
      </c>
      <c r="D4" s="13">
        <v>2023</v>
      </c>
      <c r="E4" s="14" t="s">
        <v>6</v>
      </c>
      <c r="F4" s="13">
        <v>2021</v>
      </c>
      <c r="G4" s="13">
        <v>2023</v>
      </c>
      <c r="H4" s="14" t="s">
        <v>6</v>
      </c>
      <c r="I4" s="13">
        <v>2021</v>
      </c>
      <c r="J4" s="13">
        <v>2023</v>
      </c>
      <c r="K4" s="14" t="s">
        <v>6</v>
      </c>
      <c r="L4" s="10" t="s">
        <v>7</v>
      </c>
      <c r="M4" s="9"/>
      <c r="N4" s="10" t="s">
        <v>8</v>
      </c>
      <c r="O4" s="9"/>
      <c r="P4" s="10" t="s">
        <v>9</v>
      </c>
      <c r="Q4" s="8"/>
      <c r="R4" s="11"/>
    </row>
    <row r="5" spans="1:18" ht="31.15" customHeight="1" thickBot="1" x14ac:dyDescent="0.25">
      <c r="B5" s="15"/>
      <c r="C5" s="16"/>
      <c r="D5" s="16"/>
      <c r="E5" s="16"/>
      <c r="F5" s="16"/>
      <c r="G5" s="16"/>
      <c r="H5" s="16"/>
      <c r="I5" s="16"/>
      <c r="J5" s="16"/>
      <c r="K5" s="16"/>
      <c r="L5" s="17" t="s">
        <v>10</v>
      </c>
      <c r="M5" s="17" t="s">
        <v>11</v>
      </c>
      <c r="N5" s="17" t="s">
        <v>10</v>
      </c>
      <c r="O5" s="17" t="s">
        <v>11</v>
      </c>
      <c r="P5" s="17" t="s">
        <v>10</v>
      </c>
      <c r="Q5" s="18" t="s">
        <v>11</v>
      </c>
    </row>
    <row r="6" spans="1:18" ht="4.9000000000000004" customHeight="1" x14ac:dyDescent="0.2">
      <c r="B6" s="19"/>
      <c r="L6" s="20"/>
      <c r="M6" s="20"/>
      <c r="N6" s="20"/>
      <c r="O6" s="20"/>
      <c r="P6" s="20"/>
      <c r="Q6" s="20"/>
    </row>
    <row r="7" spans="1:18" ht="15.75" x14ac:dyDescent="0.25">
      <c r="B7" s="21" t="s">
        <v>12</v>
      </c>
      <c r="C7" s="22">
        <v>26397.47</v>
      </c>
      <c r="D7" s="23">
        <v>27479.7</v>
      </c>
      <c r="E7" s="22">
        <v>29562.7</v>
      </c>
      <c r="F7" s="24">
        <v>307.19</v>
      </c>
      <c r="G7" s="25">
        <v>353.23</v>
      </c>
      <c r="H7" s="26">
        <v>411.35</v>
      </c>
      <c r="I7" s="27">
        <v>228.8</v>
      </c>
      <c r="J7" s="27">
        <v>258.05</v>
      </c>
      <c r="K7" s="27">
        <v>321.85000000000002</v>
      </c>
      <c r="L7" s="28">
        <f>((D7/C7)-1)*100</f>
        <v>4.0997489532140774</v>
      </c>
      <c r="M7" s="28">
        <f t="shared" ref="M7" si="0">((E7/D7)-1)*100</f>
        <v>7.5801409767937811</v>
      </c>
      <c r="N7" s="28">
        <f t="shared" ref="N7:O8" si="1">((G7/F7)-1)*100</f>
        <v>14.987467039942715</v>
      </c>
      <c r="O7" s="28">
        <f t="shared" si="1"/>
        <v>16.453868584208585</v>
      </c>
      <c r="P7" s="28">
        <f t="shared" ref="P7:Q17" si="2">((J7/I7)-1)*100</f>
        <v>12.784090909090917</v>
      </c>
      <c r="Q7" s="28">
        <f t="shared" si="2"/>
        <v>24.72389071885295</v>
      </c>
    </row>
    <row r="8" spans="1:18" x14ac:dyDescent="0.2">
      <c r="B8" s="29" t="s">
        <v>13</v>
      </c>
      <c r="C8" s="30">
        <v>2639.67</v>
      </c>
      <c r="D8" s="31">
        <v>2747.64</v>
      </c>
      <c r="E8" s="30">
        <v>2956.24</v>
      </c>
      <c r="F8" s="32">
        <v>116.02</v>
      </c>
      <c r="G8" s="33">
        <v>143.28</v>
      </c>
      <c r="H8" s="34">
        <v>170.58</v>
      </c>
      <c r="I8" s="35">
        <v>103.89</v>
      </c>
      <c r="J8" s="35">
        <v>127.86</v>
      </c>
      <c r="K8" s="35">
        <v>155.6</v>
      </c>
      <c r="L8" s="36">
        <f t="shared" ref="L8:M17" si="3">((D8/C8)-1)*100</f>
        <v>4.0902840127743145</v>
      </c>
      <c r="M8" s="36">
        <f t="shared" si="3"/>
        <v>7.5919698359319332</v>
      </c>
      <c r="N8" s="36">
        <f>((G8/F8)-1)*100</f>
        <v>23.495948974314771</v>
      </c>
      <c r="O8" s="36">
        <f t="shared" si="1"/>
        <v>19.053601340033509</v>
      </c>
      <c r="P8" s="36">
        <f t="shared" si="2"/>
        <v>23.072480508229852</v>
      </c>
      <c r="Q8" s="36">
        <f t="shared" si="2"/>
        <v>21.695604567495685</v>
      </c>
    </row>
    <row r="9" spans="1:18" x14ac:dyDescent="0.2">
      <c r="B9" s="29" t="s">
        <v>14</v>
      </c>
      <c r="C9" s="30">
        <v>2639.77</v>
      </c>
      <c r="D9" s="31">
        <v>2748.3</v>
      </c>
      <c r="E9" s="30">
        <v>2956</v>
      </c>
      <c r="F9" s="32">
        <v>152.13999999999999</v>
      </c>
      <c r="G9" s="33">
        <v>182.61</v>
      </c>
      <c r="H9" s="34">
        <v>215.11</v>
      </c>
      <c r="I9" s="35">
        <v>129.87</v>
      </c>
      <c r="J9" s="35">
        <v>154.68</v>
      </c>
      <c r="K9" s="35">
        <v>189.33</v>
      </c>
      <c r="L9" s="36">
        <f t="shared" si="3"/>
        <v>4.111343033673398</v>
      </c>
      <c r="M9" s="36">
        <f t="shared" si="3"/>
        <v>7.5573991194556545</v>
      </c>
      <c r="N9" s="36">
        <f t="shared" ref="N9:O17" si="4">((G9/F9)-1)*100</f>
        <v>20.027606152228227</v>
      </c>
      <c r="O9" s="36">
        <f t="shared" si="4"/>
        <v>17.797491922676745</v>
      </c>
      <c r="P9" s="36">
        <f t="shared" si="2"/>
        <v>19.103719103719108</v>
      </c>
      <c r="Q9" s="36">
        <f t="shared" si="2"/>
        <v>22.4010861132661</v>
      </c>
    </row>
    <row r="10" spans="1:18" x14ac:dyDescent="0.2">
      <c r="B10" s="29" t="s">
        <v>15</v>
      </c>
      <c r="C10" s="30">
        <v>2639.31</v>
      </c>
      <c r="D10" s="31">
        <v>2747.87</v>
      </c>
      <c r="E10" s="30">
        <v>2956.42</v>
      </c>
      <c r="F10" s="32">
        <v>175.86</v>
      </c>
      <c r="G10" s="33">
        <v>208.43</v>
      </c>
      <c r="H10" s="34">
        <v>244.92</v>
      </c>
      <c r="I10" s="35">
        <v>146.88999999999999</v>
      </c>
      <c r="J10" s="35">
        <v>172.49</v>
      </c>
      <c r="K10" s="35">
        <v>212.64</v>
      </c>
      <c r="L10" s="36">
        <f t="shared" si="3"/>
        <v>4.1131962520507326</v>
      </c>
      <c r="M10" s="36">
        <f t="shared" si="3"/>
        <v>7.5895147878174862</v>
      </c>
      <c r="N10" s="36">
        <f t="shared" si="4"/>
        <v>18.520413965654491</v>
      </c>
      <c r="O10" s="36">
        <f t="shared" si="4"/>
        <v>17.507076716403567</v>
      </c>
      <c r="P10" s="36">
        <f t="shared" si="2"/>
        <v>17.428007352440609</v>
      </c>
      <c r="Q10" s="36">
        <f t="shared" si="2"/>
        <v>23.276711693431483</v>
      </c>
    </row>
    <row r="11" spans="1:18" x14ac:dyDescent="0.2">
      <c r="B11" s="29" t="s">
        <v>16</v>
      </c>
      <c r="C11" s="30">
        <v>2640.14</v>
      </c>
      <c r="D11" s="31">
        <v>2747.98</v>
      </c>
      <c r="E11" s="30">
        <v>2956.08</v>
      </c>
      <c r="F11" s="32">
        <v>202.66</v>
      </c>
      <c r="G11" s="33">
        <v>241.18</v>
      </c>
      <c r="H11" s="34">
        <v>277.02999999999997</v>
      </c>
      <c r="I11" s="35">
        <v>166.64</v>
      </c>
      <c r="J11" s="35">
        <v>195.6</v>
      </c>
      <c r="K11" s="35">
        <v>236.74</v>
      </c>
      <c r="L11" s="36">
        <f t="shared" si="3"/>
        <v>4.0846318755823674</v>
      </c>
      <c r="M11" s="36">
        <f t="shared" si="3"/>
        <v>7.5728353190343434</v>
      </c>
      <c r="N11" s="36">
        <f t="shared" si="4"/>
        <v>19.007204184348183</v>
      </c>
      <c r="O11" s="36">
        <f t="shared" si="4"/>
        <v>14.864416618293387</v>
      </c>
      <c r="P11" s="36">
        <f t="shared" si="2"/>
        <v>17.378780604896793</v>
      </c>
      <c r="Q11" s="36">
        <f t="shared" si="2"/>
        <v>21.032719836400826</v>
      </c>
    </row>
    <row r="12" spans="1:18" x14ac:dyDescent="0.2">
      <c r="B12" s="29" t="s">
        <v>17</v>
      </c>
      <c r="C12" s="30">
        <v>2639.73</v>
      </c>
      <c r="D12" s="31">
        <v>2747.63</v>
      </c>
      <c r="E12" s="30">
        <v>2956.61</v>
      </c>
      <c r="F12" s="32">
        <v>227.68</v>
      </c>
      <c r="G12" s="33">
        <v>272.08999999999997</v>
      </c>
      <c r="H12" s="34">
        <v>317.72000000000003</v>
      </c>
      <c r="I12" s="35">
        <v>184.15</v>
      </c>
      <c r="J12" s="35">
        <v>216.19</v>
      </c>
      <c r="K12" s="35">
        <v>267.14999999999998</v>
      </c>
      <c r="L12" s="36">
        <f t="shared" si="3"/>
        <v>4.0875392559087453</v>
      </c>
      <c r="M12" s="36">
        <f t="shared" si="3"/>
        <v>7.6058275677584053</v>
      </c>
      <c r="N12" s="36">
        <f t="shared" si="4"/>
        <v>19.505446240337299</v>
      </c>
      <c r="O12" s="36">
        <f t="shared" si="4"/>
        <v>16.770186335403746</v>
      </c>
      <c r="P12" s="36">
        <f t="shared" si="2"/>
        <v>17.398859625305452</v>
      </c>
      <c r="Q12" s="36">
        <f t="shared" si="2"/>
        <v>23.571858087793139</v>
      </c>
    </row>
    <row r="13" spans="1:18" x14ac:dyDescent="0.2">
      <c r="B13" s="29" t="s">
        <v>18</v>
      </c>
      <c r="C13" s="30">
        <v>2639.75</v>
      </c>
      <c r="D13" s="31">
        <v>2748.34</v>
      </c>
      <c r="E13" s="30">
        <v>2956.26</v>
      </c>
      <c r="F13" s="32">
        <v>261.77999999999997</v>
      </c>
      <c r="G13" s="33">
        <v>308.69</v>
      </c>
      <c r="H13" s="34">
        <v>360.97</v>
      </c>
      <c r="I13" s="35">
        <v>207.93</v>
      </c>
      <c r="J13" s="35">
        <v>239.51</v>
      </c>
      <c r="K13" s="35">
        <v>298.72000000000003</v>
      </c>
      <c r="L13" s="36">
        <f t="shared" si="3"/>
        <v>4.1136471256747908</v>
      </c>
      <c r="M13" s="36">
        <f t="shared" si="3"/>
        <v>7.5652939592626867</v>
      </c>
      <c r="N13" s="36">
        <f t="shared" si="4"/>
        <v>17.919627167850869</v>
      </c>
      <c r="O13" s="36">
        <f t="shared" si="4"/>
        <v>16.936084745213662</v>
      </c>
      <c r="P13" s="36">
        <f t="shared" si="2"/>
        <v>15.187803587745874</v>
      </c>
      <c r="Q13" s="36">
        <f t="shared" si="2"/>
        <v>24.721305999749511</v>
      </c>
    </row>
    <row r="14" spans="1:18" x14ac:dyDescent="0.2">
      <c r="B14" s="29" t="s">
        <v>19</v>
      </c>
      <c r="C14" s="30">
        <v>2639.82</v>
      </c>
      <c r="D14" s="31">
        <v>2747.85</v>
      </c>
      <c r="E14" s="30">
        <v>2956.05</v>
      </c>
      <c r="F14" s="32">
        <v>302.94</v>
      </c>
      <c r="G14" s="33">
        <v>351.73</v>
      </c>
      <c r="H14" s="34">
        <v>415.43</v>
      </c>
      <c r="I14" s="35">
        <v>235.88</v>
      </c>
      <c r="J14" s="35">
        <v>266.23</v>
      </c>
      <c r="K14" s="35">
        <v>336.42</v>
      </c>
      <c r="L14" s="36">
        <f t="shared" si="3"/>
        <v>4.0923244766688516</v>
      </c>
      <c r="M14" s="36">
        <f t="shared" si="3"/>
        <v>7.5768327965500371</v>
      </c>
      <c r="N14" s="36">
        <f t="shared" si="4"/>
        <v>16.105499438832773</v>
      </c>
      <c r="O14" s="36">
        <f t="shared" si="4"/>
        <v>18.110482472350942</v>
      </c>
      <c r="P14" s="36">
        <f t="shared" si="2"/>
        <v>12.866711887400385</v>
      </c>
      <c r="Q14" s="36">
        <f t="shared" si="2"/>
        <v>26.364421740600228</v>
      </c>
    </row>
    <row r="15" spans="1:18" x14ac:dyDescent="0.2">
      <c r="B15" s="29" t="s">
        <v>20</v>
      </c>
      <c r="C15" s="30">
        <v>2639.37</v>
      </c>
      <c r="D15" s="31">
        <v>2747.98</v>
      </c>
      <c r="E15" s="30">
        <v>2956.47</v>
      </c>
      <c r="F15" s="32">
        <v>361.62</v>
      </c>
      <c r="G15" s="33">
        <v>416.23</v>
      </c>
      <c r="H15" s="34">
        <v>484.13</v>
      </c>
      <c r="I15" s="35">
        <v>271.77999999999997</v>
      </c>
      <c r="J15" s="35">
        <v>303.89999999999998</v>
      </c>
      <c r="K15" s="35">
        <v>381.32</v>
      </c>
      <c r="L15" s="36">
        <f t="shared" si="3"/>
        <v>4.1149971394689011</v>
      </c>
      <c r="M15" s="36">
        <f t="shared" si="3"/>
        <v>7.5870275620637528</v>
      </c>
      <c r="N15" s="36">
        <f t="shared" si="4"/>
        <v>15.101487749571385</v>
      </c>
      <c r="O15" s="36">
        <f t="shared" si="4"/>
        <v>16.313096124738724</v>
      </c>
      <c r="P15" s="36">
        <f t="shared" si="2"/>
        <v>11.818382515269699</v>
      </c>
      <c r="Q15" s="36">
        <f t="shared" si="2"/>
        <v>25.475485357025352</v>
      </c>
    </row>
    <row r="16" spans="1:18" x14ac:dyDescent="0.2">
      <c r="B16" s="29" t="s">
        <v>21</v>
      </c>
      <c r="C16" s="30">
        <v>2639.42</v>
      </c>
      <c r="D16" s="31">
        <v>2748.04</v>
      </c>
      <c r="E16" s="30">
        <v>2956.05</v>
      </c>
      <c r="F16" s="32">
        <v>457.16</v>
      </c>
      <c r="G16" s="33">
        <v>512.54</v>
      </c>
      <c r="H16" s="34">
        <v>592.12</v>
      </c>
      <c r="I16" s="35">
        <v>329.12</v>
      </c>
      <c r="J16" s="35">
        <v>358.34</v>
      </c>
      <c r="K16" s="35">
        <v>446.75</v>
      </c>
      <c r="L16" s="36">
        <f t="shared" si="3"/>
        <v>4.1152980579066467</v>
      </c>
      <c r="M16" s="36">
        <f t="shared" si="3"/>
        <v>7.5693949141933947</v>
      </c>
      <c r="N16" s="36">
        <f t="shared" si="4"/>
        <v>12.113920727972683</v>
      </c>
      <c r="O16" s="36">
        <f t="shared" si="4"/>
        <v>15.526593046396385</v>
      </c>
      <c r="P16" s="36">
        <f t="shared" si="2"/>
        <v>8.8782207097715116</v>
      </c>
      <c r="Q16" s="36">
        <f t="shared" si="2"/>
        <v>24.672099123737247</v>
      </c>
    </row>
    <row r="17" spans="2:17" ht="15.75" thickBot="1" x14ac:dyDescent="0.25">
      <c r="B17" s="37" t="s">
        <v>22</v>
      </c>
      <c r="C17" s="38">
        <v>2640.47</v>
      </c>
      <c r="D17" s="39">
        <v>2748.06</v>
      </c>
      <c r="E17" s="38">
        <v>2956.53</v>
      </c>
      <c r="F17" s="40">
        <v>813.91</v>
      </c>
      <c r="G17" s="41">
        <v>895.47</v>
      </c>
      <c r="H17" s="42">
        <v>1035.4100000000001</v>
      </c>
      <c r="I17" s="43">
        <v>511.75</v>
      </c>
      <c r="J17" s="43">
        <v>545.66</v>
      </c>
      <c r="K17" s="43">
        <v>693.81</v>
      </c>
      <c r="L17" s="44">
        <f t="shared" si="3"/>
        <v>4.0746533761035097</v>
      </c>
      <c r="M17" s="44">
        <f t="shared" si="3"/>
        <v>7.5860789065741008</v>
      </c>
      <c r="N17" s="44">
        <f t="shared" si="4"/>
        <v>10.020763966531931</v>
      </c>
      <c r="O17" s="44">
        <f t="shared" si="4"/>
        <v>15.627547544864706</v>
      </c>
      <c r="P17" s="44">
        <f t="shared" si="2"/>
        <v>6.6262823644357427</v>
      </c>
      <c r="Q17" s="44">
        <f t="shared" si="2"/>
        <v>27.150606604845496</v>
      </c>
    </row>
    <row r="18" spans="2:17" x14ac:dyDescent="0.2">
      <c r="B18" s="45" t="s">
        <v>23</v>
      </c>
      <c r="C18" s="46"/>
      <c r="D18" s="47"/>
      <c r="E18" s="46"/>
      <c r="F18" s="46"/>
      <c r="G18" s="46"/>
      <c r="H18" s="48"/>
      <c r="I18" s="36"/>
      <c r="J18" s="36"/>
    </row>
    <row r="19" spans="2:17" x14ac:dyDescent="0.2">
      <c r="B19" s="45" t="s">
        <v>24</v>
      </c>
      <c r="C19" s="46"/>
      <c r="D19" s="47"/>
      <c r="E19" s="46"/>
      <c r="F19" s="46"/>
      <c r="G19" s="46"/>
      <c r="H19" s="48"/>
      <c r="I19" s="36"/>
      <c r="J19" s="36"/>
    </row>
    <row r="20" spans="2:17" x14ac:dyDescent="0.2">
      <c r="B20" s="45" t="s">
        <v>25</v>
      </c>
    </row>
    <row r="21" spans="2:17" ht="15.75" customHeight="1" x14ac:dyDescent="0.2">
      <c r="B21" s="45"/>
    </row>
    <row r="22" spans="2:17" ht="15.75" customHeight="1" x14ac:dyDescent="0.2">
      <c r="B22" s="45"/>
    </row>
    <row r="23" spans="2:17" ht="15.75" customHeight="1" x14ac:dyDescent="0.2"/>
    <row r="24" spans="2:17" ht="15.75" customHeight="1" x14ac:dyDescent="0.2"/>
    <row r="25" spans="2:17" ht="15.75" customHeight="1" x14ac:dyDescent="0.2"/>
    <row r="26" spans="2:17" ht="15.75" customHeight="1" x14ac:dyDescent="0.2"/>
    <row r="27" spans="2:17" ht="15.75" customHeight="1" x14ac:dyDescent="0.2"/>
    <row r="28" spans="2:17" ht="15.75" customHeight="1" x14ac:dyDescent="0.2"/>
    <row r="29" spans="2:17" ht="15.75" customHeight="1" x14ac:dyDescent="0.2"/>
    <row r="30" spans="2:17" ht="15.75" customHeight="1" x14ac:dyDescent="0.2"/>
    <row r="31" spans="2:17" ht="15.75" customHeight="1" x14ac:dyDescent="0.2"/>
    <row r="32" spans="2: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8">
    <mergeCell ref="N4:O4"/>
    <mergeCell ref="P4:Q4"/>
    <mergeCell ref="G4:G5"/>
    <mergeCell ref="H4:H5"/>
    <mergeCell ref="I4:I5"/>
    <mergeCell ref="J4:J5"/>
    <mergeCell ref="K4:K5"/>
    <mergeCell ref="L4:M4"/>
    <mergeCell ref="B1:Q1"/>
    <mergeCell ref="B3:B5"/>
    <mergeCell ref="C3:E3"/>
    <mergeCell ref="F3:H3"/>
    <mergeCell ref="I3:K3"/>
    <mergeCell ref="L3:Q3"/>
    <mergeCell ref="C4:C5"/>
    <mergeCell ref="D4:D5"/>
    <mergeCell ref="E4:E5"/>
    <mergeCell ref="F4:F5"/>
  </mergeCells>
  <conditionalFormatting sqref="I7:J19">
    <cfRule type="cellIs" dxfId="1" priority="1" operator="lessThan">
      <formula>0</formula>
    </cfRule>
  </conditionalFormatting>
  <conditionalFormatting sqref="K7:Q17">
    <cfRule type="cellIs" dxfId="0" priority="2" operator="lessThan">
      <formula>0</formula>
    </cfRule>
  </conditionalFormatting>
  <pageMargins left="0.39370078740157483" right="0.19685039370078741" top="0.31496062992125984" bottom="0.27559055118110237" header="0" footer="0"/>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Table 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EMMANUEL ZAPANTA</dc:creator>
  <cp:lastModifiedBy>EMMANUEL ZAPANTA</cp:lastModifiedBy>
  <dcterms:created xsi:type="dcterms:W3CDTF">2026-08-25T07:38:06Z</dcterms:created>
  <dcterms:modified xsi:type="dcterms:W3CDTF">2026-08-25T07:38:16Z</dcterms:modified>
</cp:coreProperties>
</file>