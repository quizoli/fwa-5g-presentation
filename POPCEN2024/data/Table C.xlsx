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name="Table C" sheetId="1" state="visible" r:id="rId1"/>
  </sheets>
  <definedNames/>
  <calcPr calcId="191029" fullCalcOnLoad="1"/>
</workbook>
</file>

<file path=xl/styles.xml><?xml version="1.0" encoding="utf-8"?>
<styleSheet xmlns="http://schemas.openxmlformats.org/spreadsheetml/2006/main">
  <numFmts count="2">
    <numFmt numFmtId="164" formatCode="_-* #,##0.00_-;\-* #,##0.00_-;_-* &quot;-&quot;??_-;_-@"/>
    <numFmt numFmtId="165" formatCode="0.0"/>
  </numFmts>
  <fonts count="7">
    <font>
      <name val="Aptos Narrow"/>
      <color theme="1"/>
      <sz val="11"/>
      <scheme val="minor"/>
    </font>
    <font>
      <name val="Arial"/>
      <family val="2"/>
      <color theme="1"/>
      <sz val="12"/>
    </font>
    <font>
      <name val="Arial"/>
      <family val="2"/>
      <b val="1"/>
      <color theme="1"/>
      <sz val="12"/>
    </font>
    <font>
      <name val="Arial"/>
      <family val="2"/>
      <sz val="12"/>
    </font>
    <font>
      <name val="Arial"/>
      <family val="2"/>
      <b val="1"/>
      <color rgb="FF000000"/>
      <sz val="12"/>
    </font>
    <font>
      <name val="Arial"/>
      <family val="2"/>
      <color rgb="FF000000"/>
      <sz val="12"/>
    </font>
    <font>
      <name val="Arial"/>
      <family val="2"/>
      <i val="1"/>
      <color theme="1"/>
      <sz val="9"/>
    </font>
  </fonts>
  <fills count="2">
    <fill>
      <patternFill/>
    </fill>
    <fill>
      <patternFill patternType="gray125"/>
    </fill>
  </fills>
  <borders count="10">
    <border>
      <left/>
      <right/>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style="medium">
        <color rgb="FF000000"/>
      </bottom>
      <diagonal/>
    </border>
    <border>
      <left/>
      <right/>
      <top/>
      <bottom style="medium">
        <color rgb="FF000000"/>
      </bottom>
      <diagonal/>
    </border>
    <border>
      <left/>
      <right style="medium">
        <color rgb="FF000000"/>
      </right>
      <top/>
      <bottom/>
      <diagonal/>
    </border>
    <border>
      <left/>
      <right/>
      <top style="medium">
        <color rgb="FF000000"/>
      </top>
      <bottom/>
      <diagonal/>
    </border>
  </borders>
  <cellStyleXfs count="1">
    <xf numFmtId="0" fontId="0" fillId="0" borderId="0"/>
  </cellStyleXfs>
  <cellXfs count="36">
    <xf numFmtId="0" fontId="0" fillId="0" borderId="0" pivotButton="0" quotePrefix="0" xfId="0"/>
    <xf numFmtId="0" fontId="1" fillId="0" borderId="0" applyAlignment="1" pivotButton="0" quotePrefix="0" xfId="0">
      <alignment horizontal="center" vertical="center"/>
    </xf>
    <xf numFmtId="0" fontId="2" fillId="0" borderId="0" applyAlignment="1" pivotButton="0" quotePrefix="0" xfId="0">
      <alignment horizontal="center" vertical="center" wrapText="1"/>
    </xf>
    <xf numFmtId="0" fontId="1" fillId="0" borderId="0" pivotButton="0" quotePrefix="0" xfId="0"/>
    <xf numFmtId="0" fontId="1" fillId="0" borderId="0" applyAlignment="1" pivotButton="0" quotePrefix="0" xfId="0">
      <alignment horizontal="center" wrapText="1"/>
    </xf>
    <xf numFmtId="0" fontId="2" fillId="0" borderId="0" applyAlignment="1" pivotButton="0" quotePrefix="0" xfId="0">
      <alignment vertical="center" wrapText="1"/>
    </xf>
    <xf numFmtId="0" fontId="2" fillId="0" borderId="1" applyAlignment="1" pivotButton="0" quotePrefix="0" xfId="0">
      <alignment horizontal="center" vertical="center" wrapText="1"/>
    </xf>
    <xf numFmtId="164" fontId="2" fillId="0" borderId="2" applyAlignment="1" pivotButton="0" quotePrefix="0" xfId="0">
      <alignment horizontal="center" vertical="center" wrapText="1"/>
    </xf>
    <xf numFmtId="0" fontId="3" fillId="0" borderId="3" pivotButton="0" quotePrefix="0" xfId="0"/>
    <xf numFmtId="0" fontId="3" fillId="0" borderId="4" pivotButton="0" quotePrefix="0" xfId="0"/>
    <xf numFmtId="0" fontId="2" fillId="0" borderId="3" applyAlignment="1" pivotButton="0" quotePrefix="0" xfId="0">
      <alignment horizontal="center" vertical="center" wrapText="1"/>
    </xf>
    <xf numFmtId="0" fontId="2" fillId="0" borderId="5" applyAlignment="1" pivotButton="0" quotePrefix="0" xfId="0">
      <alignment horizontal="center" vertical="center" wrapText="1"/>
    </xf>
    <xf numFmtId="0" fontId="2" fillId="0" borderId="6" applyAlignment="1" pivotButton="0" quotePrefix="0" xfId="0">
      <alignment horizontal="center" vertical="center" wrapText="1"/>
    </xf>
    <xf numFmtId="0" fontId="2" fillId="0" borderId="6" applyAlignment="1" pivotButton="0" quotePrefix="0" xfId="0">
      <alignment horizontal="center" vertical="center"/>
    </xf>
    <xf numFmtId="0" fontId="2" fillId="0" borderId="7" applyAlignment="1" pivotButton="0" quotePrefix="0" xfId="0">
      <alignment horizontal="center" vertical="center"/>
    </xf>
    <xf numFmtId="0" fontId="2" fillId="0" borderId="0" applyAlignment="1" pivotButton="0" quotePrefix="0" xfId="0">
      <alignment horizontal="center" vertical="center" wrapText="1"/>
    </xf>
    <xf numFmtId="0" fontId="2" fillId="0" borderId="0" pivotButton="0" quotePrefix="0" xfId="0"/>
    <xf numFmtId="0" fontId="4" fillId="0" borderId="0" applyAlignment="1" pivotButton="0" quotePrefix="0" xfId="0">
      <alignment vertical="center"/>
    </xf>
    <xf numFmtId="164" fontId="2" fillId="0" borderId="0" pivotButton="0" quotePrefix="0" xfId="0"/>
    <xf numFmtId="164" fontId="4" fillId="0" borderId="0" applyAlignment="1" pivotButton="0" quotePrefix="0" xfId="0">
      <alignment horizontal="right" vertical="center"/>
    </xf>
    <xf numFmtId="165" fontId="2" fillId="0" borderId="0" pivotButton="0" quotePrefix="0" xfId="0"/>
    <xf numFmtId="0" fontId="5" fillId="0" borderId="0" applyAlignment="1" pivotButton="0" quotePrefix="0" xfId="0">
      <alignment horizontal="left" vertical="center" indent="1"/>
    </xf>
    <xf numFmtId="164" fontId="1" fillId="0" borderId="0" pivotButton="0" quotePrefix="0" xfId="0"/>
    <xf numFmtId="164" fontId="5" fillId="0" borderId="0" applyAlignment="1" pivotButton="0" quotePrefix="0" xfId="0">
      <alignment horizontal="right" vertical="center"/>
    </xf>
    <xf numFmtId="165" fontId="1" fillId="0" borderId="0" pivotButton="0" quotePrefix="0" xfId="0"/>
    <xf numFmtId="0" fontId="5" fillId="0" borderId="7" applyAlignment="1" pivotButton="0" quotePrefix="0" xfId="0">
      <alignment horizontal="left" vertical="center" indent="1"/>
    </xf>
    <xf numFmtId="164" fontId="1" fillId="0" borderId="7" pivotButton="0" quotePrefix="0" xfId="0"/>
    <xf numFmtId="164" fontId="5" fillId="0" borderId="7" applyAlignment="1" pivotButton="0" quotePrefix="0" xfId="0">
      <alignment horizontal="right" vertical="center"/>
    </xf>
    <xf numFmtId="165" fontId="1" fillId="0" borderId="7" pivotButton="0" quotePrefix="0" xfId="0"/>
    <xf numFmtId="0" fontId="6" fillId="0" borderId="0" pivotButton="0" quotePrefix="0" xfId="0"/>
    <xf numFmtId="4" fontId="1" fillId="0" borderId="0" pivotButton="0" quotePrefix="0" xfId="0"/>
    <xf numFmtId="0" fontId="2" fillId="0" borderId="4" applyAlignment="1" pivotButton="0" quotePrefix="0" xfId="0">
      <alignment horizontal="center" vertical="center" wrapText="1"/>
    </xf>
    <xf numFmtId="164" fontId="2" fillId="0" borderId="6" applyAlignment="1" pivotButton="0" quotePrefix="0" xfId="0">
      <alignment horizontal="center" vertical="center" wrapText="1"/>
    </xf>
    <xf numFmtId="0" fontId="0" fillId="0" borderId="3" pivotButton="0" quotePrefix="0" xfId="0"/>
    <xf numFmtId="0" fontId="0" fillId="0" borderId="4" pivotButton="0" quotePrefix="0" xfId="0"/>
    <xf numFmtId="0" fontId="0" fillId="0" borderId="5" pivotButton="0" quotePrefix="0" xfId="0"/>
  </cellXfs>
  <cellStyles count="1">
    <cellStyle name="Normal" xfId="0" builtinId="0"/>
  </cellStyles>
  <dxfs count="1">
    <dxf>
      <font>
        <color rgb="FF9C0006"/>
      </font>
      <fill>
        <patternFill patternType="solid">
          <fgColor rgb="FFFFC7CE"/>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fitToPage="1"/>
  </sheetPr>
  <dimension ref="A1:M19"/>
  <sheetViews>
    <sheetView showGridLines="0" tabSelected="1" zoomScale="75" zoomScaleNormal="98" workbookViewId="0">
      <selection activeCell="F4" sqref="F4"/>
    </sheetView>
  </sheetViews>
  <sheetFormatPr baseColWidth="8" defaultColWidth="12.7109375" defaultRowHeight="15" customHeight="1"/>
  <cols>
    <col width="5.7109375" customWidth="1" style="3" min="1" max="1"/>
    <col width="40.85546875" customWidth="1" style="3" min="2" max="2"/>
    <col width="21.7109375" customWidth="1" style="3" min="3" max="8"/>
    <col width="17.28515625" customWidth="1" style="3" min="9" max="10"/>
    <col width="8.7109375" customWidth="1" style="3" min="11" max="12"/>
    <col width="14.28515625" customWidth="1" style="3" min="13" max="13"/>
    <col width="12.7109375" customWidth="1" style="3" min="14" max="16384"/>
  </cols>
  <sheetData>
    <row r="1" ht="15.75" customHeight="1">
      <c r="A1" s="1" t="n"/>
      <c r="B1" s="15" t="inlineStr">
        <is>
          <t>Table C. Total Annual Family Income by Income Decile, Philippines: 2021, 2023 and 2025ᴾ</t>
        </is>
      </c>
      <c r="K1" s="1" t="n"/>
      <c r="L1" s="1" t="n"/>
      <c r="M1" s="1" t="n"/>
    </row>
    <row r="2" ht="16.5" customHeight="1" thickBot="1">
      <c r="B2" s="4" t="n"/>
      <c r="C2" s="4" t="n"/>
      <c r="D2" s="4" t="n"/>
      <c r="E2" s="4" t="n"/>
      <c r="F2" s="4" t="n"/>
      <c r="G2" s="4" t="n"/>
      <c r="H2" s="4" t="n"/>
      <c r="I2" s="5" t="n"/>
    </row>
    <row r="3" ht="39" customHeight="1" thickBot="1">
      <c r="B3" s="31" t="inlineStr">
        <is>
          <t>Income Decile</t>
        </is>
      </c>
      <c r="C3" s="32" t="inlineStr">
        <is>
          <t>Total Annual Family Income 
(in million PhP)</t>
        </is>
      </c>
      <c r="D3" s="33" t="n"/>
      <c r="E3" s="34" t="n"/>
      <c r="F3" s="32" t="inlineStr">
        <is>
          <t>Total Annual Family Income 
Coefficient Variation (in percent)</t>
        </is>
      </c>
      <c r="G3" s="33" t="n"/>
      <c r="H3" s="34" t="n"/>
      <c r="I3" s="10" t="inlineStr">
        <is>
          <t>Percent Change (%)
Total Family Income</t>
        </is>
      </c>
      <c r="J3" s="33" t="n"/>
    </row>
    <row r="4" ht="16.5" customHeight="1" thickBot="1">
      <c r="B4" s="35" t="n"/>
      <c r="C4" s="12" t="n">
        <v>2021</v>
      </c>
      <c r="D4" s="12" t="n">
        <v>2023</v>
      </c>
      <c r="E4" s="12" t="inlineStr">
        <is>
          <t>2025ᴾ</t>
        </is>
      </c>
      <c r="F4" s="12" t="n">
        <v>2021</v>
      </c>
      <c r="G4" s="12" t="n">
        <v>2023</v>
      </c>
      <c r="H4" s="12" t="inlineStr">
        <is>
          <t>2025ᴾ</t>
        </is>
      </c>
      <c r="I4" s="13" t="inlineStr">
        <is>
          <t>2021-2023</t>
        </is>
      </c>
      <c r="J4" s="14" t="inlineStr">
        <is>
          <t>2023-2025</t>
        </is>
      </c>
    </row>
    <row r="5" ht="15.75" customHeight="1">
      <c r="B5" s="15" t="n"/>
      <c r="I5" s="16" t="n"/>
    </row>
    <row r="6" ht="15.75" customHeight="1">
      <c r="B6" s="17" t="inlineStr">
        <is>
          <t>All Income Groups</t>
        </is>
      </c>
      <c r="C6" s="18" t="n">
        <v>8109045.26</v>
      </c>
      <c r="D6" s="19" t="n">
        <v>9706612.91</v>
      </c>
      <c r="E6" s="18" t="n">
        <v>12160544.48</v>
      </c>
      <c r="F6" s="18" t="n">
        <v>0.87</v>
      </c>
      <c r="G6" s="18" t="n">
        <v>0.88</v>
      </c>
      <c r="H6" s="18" t="n">
        <v>0.83</v>
      </c>
      <c r="I6" s="20">
        <f>((D6/C6)-1)*100</f>
        <v/>
      </c>
      <c r="J6" s="20">
        <f>((E6/D6)-1)*100</f>
        <v/>
      </c>
      <c r="K6" s="16" t="n"/>
      <c r="L6" s="16" t="n"/>
      <c r="M6" s="16" t="n"/>
    </row>
    <row r="7">
      <c r="B7" s="21" t="inlineStr">
        <is>
          <t>First Decile</t>
        </is>
      </c>
      <c r="C7" s="22" t="n">
        <v>306262.87</v>
      </c>
      <c r="D7" s="23" t="n">
        <v>393685.99</v>
      </c>
      <c r="E7" s="22" t="n">
        <v>504272.2</v>
      </c>
      <c r="F7" s="22" t="n">
        <v>1.48</v>
      </c>
      <c r="G7" s="22" t="n">
        <v>1.55</v>
      </c>
      <c r="H7" s="22" t="n">
        <v>1.43</v>
      </c>
      <c r="I7" s="24">
        <f>((D7/C7)-1)*100</f>
        <v/>
      </c>
      <c r="J7" s="24">
        <f>((E7/D7)-1)*100</f>
        <v/>
      </c>
    </row>
    <row r="8">
      <c r="B8" s="21" t="inlineStr">
        <is>
          <t>Second Decile</t>
        </is>
      </c>
      <c r="C8" s="22" t="n">
        <v>401607.22</v>
      </c>
      <c r="D8" s="23" t="n">
        <v>501868.93</v>
      </c>
      <c r="E8" s="22" t="n">
        <v>635879.89</v>
      </c>
      <c r="F8" s="22" t="n">
        <v>1.32</v>
      </c>
      <c r="G8" s="22" t="n">
        <v>1.32</v>
      </c>
      <c r="H8" s="22" t="n">
        <v>1.23</v>
      </c>
      <c r="I8" s="24">
        <f>((D8/C8)-1)*100</f>
        <v/>
      </c>
      <c r="J8" s="24">
        <f>((E8/D8)-1)*100</f>
        <v/>
      </c>
    </row>
    <row r="9">
      <c r="B9" s="21" t="inlineStr">
        <is>
          <t>Third Decile</t>
        </is>
      </c>
      <c r="C9" s="22" t="n">
        <v>464150.01</v>
      </c>
      <c r="D9" s="23" t="n">
        <v>572743.13</v>
      </c>
      <c r="E9" s="22" t="n">
        <v>724095.17</v>
      </c>
      <c r="F9" s="22" t="n">
        <v>1.32</v>
      </c>
      <c r="G9" s="22" t="n">
        <v>1.28</v>
      </c>
      <c r="H9" s="22" t="n">
        <v>1.28</v>
      </c>
      <c r="I9" s="24">
        <f>((D9/C9)-1)*100</f>
        <v/>
      </c>
      <c r="J9" s="24">
        <f>((E9/D9)-1)*100</f>
        <v/>
      </c>
    </row>
    <row r="10">
      <c r="B10" s="21" t="inlineStr">
        <is>
          <t>Fourth Decile</t>
        </is>
      </c>
      <c r="C10" s="22" t="n">
        <v>535044.8199999999</v>
      </c>
      <c r="D10" s="23" t="n">
        <v>662747.85</v>
      </c>
      <c r="E10" s="22" t="n">
        <v>818915.5699999999</v>
      </c>
      <c r="F10" s="22" t="n">
        <v>1.41</v>
      </c>
      <c r="G10" s="22" t="n">
        <v>1.34</v>
      </c>
      <c r="H10" s="22" t="n">
        <v>1.37</v>
      </c>
      <c r="I10" s="24">
        <f>((D10/C10)-1)*100</f>
        <v/>
      </c>
      <c r="J10" s="24">
        <f>((E10/D10)-1)*100</f>
        <v/>
      </c>
    </row>
    <row r="11">
      <c r="B11" s="21" t="inlineStr">
        <is>
          <t>Fifth Decile</t>
        </is>
      </c>
      <c r="C11" s="22" t="n">
        <v>601018.25</v>
      </c>
      <c r="D11" s="23" t="n">
        <v>747600.12</v>
      </c>
      <c r="E11" s="22" t="n">
        <v>939380.1</v>
      </c>
      <c r="F11" s="22" t="n">
        <v>1.38</v>
      </c>
      <c r="G11" s="22" t="n">
        <v>1.38</v>
      </c>
      <c r="H11" s="22" t="n">
        <v>1.43</v>
      </c>
      <c r="I11" s="24">
        <f>((D11/C11)-1)*100</f>
        <v/>
      </c>
      <c r="J11" s="24">
        <f>((E11/D11)-1)*100</f>
        <v/>
      </c>
    </row>
    <row r="12">
      <c r="B12" s="21" t="inlineStr">
        <is>
          <t>Sixth Decile</t>
        </is>
      </c>
      <c r="C12" s="22" t="n">
        <v>691035.99</v>
      </c>
      <c r="D12" s="23" t="n">
        <v>848372.55</v>
      </c>
      <c r="E12" s="22" t="n">
        <v>1067118.13</v>
      </c>
      <c r="F12" s="22" t="n">
        <v>1.5</v>
      </c>
      <c r="G12" s="22" t="n">
        <v>1.42</v>
      </c>
      <c r="H12" s="22" t="n">
        <v>1.35</v>
      </c>
      <c r="I12" s="24">
        <f>((D12/C12)-1)*100</f>
        <v/>
      </c>
      <c r="J12" s="24">
        <f>((E12/D12)-1)*100</f>
        <v/>
      </c>
    </row>
    <row r="13">
      <c r="B13" s="21" t="inlineStr">
        <is>
          <t>Seventh Decile</t>
        </is>
      </c>
      <c r="C13" s="22" t="n">
        <v>799717.89</v>
      </c>
      <c r="D13" s="23" t="n">
        <v>966503.95</v>
      </c>
      <c r="E13" s="22" t="n">
        <v>1228027.89</v>
      </c>
      <c r="F13" s="22" t="n">
        <v>1.47</v>
      </c>
      <c r="G13" s="22" t="n">
        <v>1.41</v>
      </c>
      <c r="H13" s="22" t="n">
        <v>1.39</v>
      </c>
      <c r="I13" s="24">
        <f>((D13/C13)-1)*100</f>
        <v/>
      </c>
      <c r="J13" s="24">
        <f>((E13/D13)-1)*100</f>
        <v/>
      </c>
    </row>
    <row r="14">
      <c r="B14" s="21" t="inlineStr">
        <is>
          <t>Eighth Decile</t>
        </is>
      </c>
      <c r="C14" s="22" t="n">
        <v>954449.33</v>
      </c>
      <c r="D14" s="23" t="n">
        <v>1143798.18</v>
      </c>
      <c r="E14" s="22" t="n">
        <v>1431309.6</v>
      </c>
      <c r="F14" s="22" t="n">
        <v>1.55</v>
      </c>
      <c r="G14" s="22" t="n">
        <v>1.49</v>
      </c>
      <c r="H14" s="22" t="n">
        <v>1.44</v>
      </c>
      <c r="I14" s="24">
        <f>((D14/C14)-1)*100</f>
        <v/>
      </c>
      <c r="J14" s="24">
        <f>((E14/D14)-1)*100</f>
        <v/>
      </c>
    </row>
    <row r="15">
      <c r="B15" s="21" t="inlineStr">
        <is>
          <t>Ninth Decile</t>
        </is>
      </c>
      <c r="C15" s="22" t="n">
        <v>1206648.57</v>
      </c>
      <c r="D15" s="23" t="n">
        <v>1408474.25</v>
      </c>
      <c r="E15" s="22" t="n">
        <v>1750324.75</v>
      </c>
      <c r="F15" s="22" t="n">
        <v>1.6</v>
      </c>
      <c r="G15" s="22" t="n">
        <v>1.75</v>
      </c>
      <c r="H15" s="22" t="n">
        <v>1.56</v>
      </c>
      <c r="I15" s="24">
        <f>((D15/C15)-1)*100</f>
        <v/>
      </c>
      <c r="J15" s="24">
        <f>((E15/D15)-1)*100</f>
        <v/>
      </c>
    </row>
    <row r="16" ht="15.75" customHeight="1" thickBot="1">
      <c r="B16" s="25" t="inlineStr">
        <is>
          <t>Tenth Decile</t>
        </is>
      </c>
      <c r="C16" s="26" t="n">
        <v>2149110.3</v>
      </c>
      <c r="D16" s="27" t="n">
        <v>2460817.96</v>
      </c>
      <c r="E16" s="26" t="n">
        <v>3061221.18</v>
      </c>
      <c r="F16" s="26" t="n">
        <v>2.26</v>
      </c>
      <c r="G16" s="26" t="n">
        <v>2.73</v>
      </c>
      <c r="H16" s="26" t="n">
        <v>2.76</v>
      </c>
      <c r="I16" s="28">
        <f>((D16/C16)-1)*100</f>
        <v/>
      </c>
      <c r="J16" s="28">
        <f>((E16/D16)-1)*100</f>
        <v/>
      </c>
    </row>
    <row r="17">
      <c r="B17" s="29" t="inlineStr">
        <is>
          <t>P - Estimates are preliminary and may change</t>
        </is>
      </c>
      <c r="C17" s="22" t="n"/>
      <c r="D17" s="23" t="n"/>
      <c r="E17" s="22" t="n"/>
      <c r="F17" s="22" t="n"/>
      <c r="G17" s="22" t="n"/>
      <c r="H17" s="30" t="n"/>
      <c r="I17" s="24" t="n"/>
      <c r="J17" s="24" t="n"/>
    </row>
    <row r="18" ht="15" customHeight="1">
      <c r="B18" s="29" t="inlineStr">
        <is>
          <t>Note: Income deciles are based on the average annual per capita income in 2025, with the 1st  income decile having the lowest average annual per capita income and the 10th  income decile having the highest average annual per capita income.</t>
        </is>
      </c>
    </row>
    <row r="19" ht="15" customHeight="1">
      <c r="B19" s="29" t="inlineStr">
        <is>
          <t>Source: Family Income and Expenditure Survey, Philippine Statistics Authority</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sheetData>
  <mergeCells count="5">
    <mergeCell ref="B3:B4"/>
    <mergeCell ref="B1:J1"/>
    <mergeCell ref="C3:E3"/>
    <mergeCell ref="F3:H3"/>
    <mergeCell ref="I3:J3"/>
  </mergeCells>
  <conditionalFormatting sqref="I6:J17">
    <cfRule type="cellIs" priority="1" operator="lessThan" dxfId="0">
      <formula>0</formula>
    </cfRule>
  </conditionalFormatting>
  <pageMargins left="0.3937007874015748" right="0.1968503937007874" top="0.3149606299212598" bottom="0.2755905511811024" header="0" footer="0"/>
  <pageSetup orientation="landscape" paperSize="9" fitToHeight="0"/>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OLIVER TUNGOL</dc:creator>
  <dcterms:created xsi:type="dcterms:W3CDTF">2026-08-25T07:38:39Z</dcterms:created>
  <dcterms:modified xsi:type="dcterms:W3CDTF">2026-09-25T02:38:22Z</dcterms:modified>
  <cp:lastModifiedBy>OLIVER TUNGOL</cp:lastModifiedBy>
</cp:coreProperties>
</file>