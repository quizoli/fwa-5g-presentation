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- Data Dictionary" sheetId="1" state="visible" r:id="rId1"/>
    <sheet xmlns:r="http://schemas.openxmlformats.org/officeDocument/2006/relationships" name="Tender Summary &amp; Instructions" sheetId="2" state="visible" r:id="rId2"/>
    <sheet xmlns:r="http://schemas.openxmlformats.org/officeDocument/2006/relationships" name="Lot 1 - RAN &amp; Rollout" sheetId="3" state="visible" r:id="rId3"/>
    <sheet xmlns:r="http://schemas.openxmlformats.org/officeDocument/2006/relationships" name="Lot 2 - Power &amp; Passive" sheetId="4" state="visible" r:id="rId4"/>
    <sheet xmlns:r="http://schemas.openxmlformats.org/officeDocument/2006/relationships" name="Lot 3 - 5G Core" sheetId="5" state="visible" r:id="rId5"/>
    <sheet xmlns:r="http://schemas.openxmlformats.org/officeDocument/2006/relationships" name="Lot 4 - OSS-BSS" sheetId="6" state="visible" r:id="rId6"/>
    <sheet xmlns:r="http://schemas.openxmlformats.org/officeDocument/2006/relationships" name="Lot 5 - Site Acq &amp; Civils" sheetId="7" state="visible" r:id="rId7"/>
    <sheet xmlns:r="http://schemas.openxmlformats.org/officeDocument/2006/relationships" name="Lot 6 - Managed Services" sheetId="8" state="visible" r:id="rId8"/>
    <sheet xmlns:r="http://schemas.openxmlformats.org/officeDocument/2006/relationships" name="Services SOW &amp; Rate Card" sheetId="9" state="visible" r:id="rId9"/>
    <sheet xmlns:r="http://schemas.openxmlformats.org/officeDocument/2006/relationships" name="Lot 7 - 5G CPE" sheetId="10" state="visible" r:id="rId10"/>
    <sheet xmlns:r="http://schemas.openxmlformats.org/officeDocument/2006/relationships" name="Form C - 10-Year TCO Schedule" sheetId="11" state="visible" r:id="rId11"/>
    <sheet xmlns:r="http://schemas.openxmlformats.org/officeDocument/2006/relationships" name="Form D - Vendor Financin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₱#,##0.00"/>
    <numFmt numFmtId="166" formatCode="0,##0.00"/>
  </numFmts>
  <fonts count="2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FFFFFF"/>
    </font>
    <font>
      <b val="1"/>
    </font>
    <font>
      <name val="Calibri"/>
      <b val="1"/>
      <color rgb="000F172A"/>
      <sz val="11"/>
    </font>
    <font>
      <name val="Calibri"/>
      <i val="1"/>
      <color rgb="00475569"/>
      <sz val="10"/>
    </font>
    <font>
      <name val="Calibri"/>
      <color rgb="001E293B"/>
      <sz val="10"/>
    </font>
    <font>
      <name val="Calibri"/>
      <color rgb="001E293B"/>
      <sz val="11"/>
    </font>
    <font>
      <name val="Calibri"/>
      <b val="1"/>
      <color rgb="0078350F"/>
      <sz val="10"/>
    </font>
    <font>
      <name val="Calibri"/>
      <i val="1"/>
      <color rgb="00595959"/>
      <sz val="9"/>
    </font>
    <font>
      <name val="Calibri"/>
      <b val="1"/>
      <color rgb="000F3460"/>
      <sz val="14"/>
    </font>
    <font>
      <name val="Calibri"/>
      <b val="1"/>
      <i val="1"/>
      <color rgb="000F3460"/>
      <sz val="9"/>
    </font>
    <font>
      <name val="Calibri"/>
      <b val="1"/>
      <color rgb="00FFFFFF"/>
      <sz val="9.5"/>
    </font>
    <font>
      <name val="Calibri"/>
      <b val="1"/>
      <color rgb="000F3460"/>
      <sz val="10"/>
    </font>
    <font>
      <name val="Calibri"/>
      <b val="1"/>
      <color rgb="0092400E"/>
      <sz val="9.5"/>
    </font>
    <font>
      <name val="Calibri"/>
      <b val="1"/>
      <color rgb="00166534"/>
      <sz val="9"/>
    </font>
    <font>
      <name val="Calibri"/>
      <color rgb="00334155"/>
      <sz val="9"/>
    </font>
    <font>
      <name val="Calibri"/>
      <b val="1"/>
      <color rgb="001E293B"/>
      <sz val="9"/>
    </font>
  </fonts>
  <fills count="1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  <fill>
      <patternFill patternType="solid">
        <fgColor rgb="000A192F"/>
      </patternFill>
    </fill>
    <fill>
      <patternFill patternType="solid">
        <fgColor rgb="00E2E8F0"/>
      </patternFill>
    </fill>
    <fill>
      <patternFill patternType="solid">
        <fgColor rgb="00FFFFFF"/>
        <bgColor rgb="00FFFFFF"/>
      </patternFill>
    </fill>
    <fill>
      <patternFill patternType="solid">
        <fgColor rgb="00F9FAFB"/>
        <bgColor rgb="00F9FAFB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0F3460"/>
        <bgColor rgb="000F3460"/>
      </patternFill>
    </fill>
    <fill>
      <patternFill patternType="solid">
        <fgColor rgb="00E2E8F0"/>
        <bgColor rgb="00E2E8F0"/>
      </patternFill>
    </fill>
    <fill>
      <patternFill patternType="solid">
        <fgColor rgb="00FEF3C7"/>
        <bgColor rgb="00FEF3C7"/>
      </patternFill>
    </fill>
    <fill>
      <patternFill patternType="solid">
        <fgColor rgb="00F0FDF4"/>
        <bgColor rgb="00F0FDF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F4E79"/>
      </top>
      <bottom style="double">
        <color rgb="001F4E79"/>
      </bottom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164" fontId="8" fillId="3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center" vertical="center"/>
    </xf>
    <xf numFmtId="0" fontId="9" fillId="4" borderId="3" applyAlignment="1" pivotButton="0" quotePrefix="0" xfId="0">
      <alignment horizontal="left" vertical="center"/>
    </xf>
    <xf numFmtId="164" fontId="9" fillId="4" borderId="3" applyAlignment="1" pivotButton="0" quotePrefix="0" xfId="0">
      <alignment horizontal="right" vertical="center"/>
    </xf>
    <xf numFmtId="165" fontId="9" fillId="4" borderId="3" applyAlignment="1" pivotButton="0" quotePrefix="0" xfId="0">
      <alignment horizontal="right" vertical="center"/>
    </xf>
    <xf numFmtId="0" fontId="9" fillId="4" borderId="3" pivotButton="0" quotePrefix="0" xfId="0"/>
    <xf numFmtId="0" fontId="8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8" fillId="0" borderId="2" pivotButton="0" quotePrefix="0" xfId="0"/>
    <xf numFmtId="164" fontId="8" fillId="3" borderId="2" pivotButton="0" quotePrefix="0" xfId="0"/>
    <xf numFmtId="164" fontId="8" fillId="0" borderId="2" pivotButton="0" quotePrefix="0" xfId="0"/>
    <xf numFmtId="0" fontId="10" fillId="5" borderId="0" pivotButton="0" quotePrefix="0" xfId="0"/>
    <xf numFmtId="0" fontId="11" fillId="6" borderId="0" pivotButton="0" quotePrefix="0" xfId="0"/>
    <xf numFmtId="0" fontId="12" fillId="7" borderId="5" applyAlignment="1" pivotButton="0" quotePrefix="0" xfId="0">
      <alignment vertical="top"/>
    </xf>
    <xf numFmtId="0" fontId="13" fillId="7" borderId="5" applyAlignment="1" pivotButton="0" quotePrefix="0" xfId="0">
      <alignment vertical="top"/>
    </xf>
    <xf numFmtId="0" fontId="14" fillId="7" borderId="5" applyAlignment="1" pivotButton="0" quotePrefix="0" xfId="0">
      <alignment vertical="top"/>
    </xf>
    <xf numFmtId="0" fontId="15" fillId="7" borderId="5" applyAlignment="1" pivotButton="0" quotePrefix="0" xfId="0">
      <alignment vertical="top" wrapText="1"/>
    </xf>
    <xf numFmtId="0" fontId="12" fillId="8" borderId="5" applyAlignment="1" pivotButton="0" quotePrefix="0" xfId="0">
      <alignment vertical="top"/>
    </xf>
    <xf numFmtId="0" fontId="13" fillId="8" borderId="5" applyAlignment="1" pivotButton="0" quotePrefix="0" xfId="0">
      <alignment vertical="top"/>
    </xf>
    <xf numFmtId="0" fontId="14" fillId="8" borderId="5" applyAlignment="1" pivotButton="0" quotePrefix="0" xfId="0">
      <alignment vertical="top"/>
    </xf>
    <xf numFmtId="0" fontId="15" fillId="8" borderId="5" applyAlignment="1" pivotButton="0" quotePrefix="0" xfId="0">
      <alignment vertical="top" wrapText="1"/>
    </xf>
    <xf numFmtId="0" fontId="16" fillId="9" borderId="5" applyAlignment="1" pivotButton="0" quotePrefix="0" xfId="0">
      <alignment vertical="top"/>
    </xf>
    <xf numFmtId="0" fontId="4" fillId="2" borderId="2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/>
    </xf>
    <xf numFmtId="0" fontId="5" fillId="7" borderId="5" applyAlignment="1" pivotButton="0" quotePrefix="0" xfId="0">
      <alignment horizontal="left" vertical="center"/>
    </xf>
    <xf numFmtId="0" fontId="5" fillId="7" borderId="5" applyAlignment="1" pivotButton="0" quotePrefix="0" xfId="0">
      <alignment horizontal="left" vertical="center" wrapText="1"/>
    </xf>
    <xf numFmtId="164" fontId="5" fillId="7" borderId="5" applyAlignment="1" pivotButton="0" quotePrefix="0" xfId="0">
      <alignment horizontal="center" vertical="center"/>
    </xf>
    <xf numFmtId="166" fontId="5" fillId="9" borderId="5" applyAlignment="1" pivotButton="0" quotePrefix="0" xfId="0">
      <alignment horizontal="right" vertical="center"/>
    </xf>
    <xf numFmtId="165" fontId="5" fillId="7" borderId="5" applyAlignment="1" pivotButton="0" quotePrefix="0" xfId="0">
      <alignment horizontal="right" vertical="center"/>
    </xf>
    <xf numFmtId="166" fontId="5" fillId="7" borderId="5" applyAlignment="1" pivotButton="0" quotePrefix="0" xfId="0">
      <alignment horizontal="right" vertical="center"/>
    </xf>
    <xf numFmtId="0" fontId="5" fillId="10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left" vertical="center"/>
    </xf>
    <xf numFmtId="0" fontId="5" fillId="10" borderId="5" applyAlignment="1" pivotButton="0" quotePrefix="0" xfId="0">
      <alignment horizontal="left" vertical="center" wrapText="1"/>
    </xf>
    <xf numFmtId="164" fontId="5" fillId="10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right" vertical="center"/>
    </xf>
    <xf numFmtId="166" fontId="5" fillId="10" borderId="5" applyAlignment="1" pivotButton="0" quotePrefix="0" xfId="0">
      <alignment horizontal="right" vertical="center"/>
    </xf>
    <xf numFmtId="0" fontId="3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164" fontId="3" fillId="4" borderId="5" applyAlignment="1" pivotButton="0" quotePrefix="0" xfId="0">
      <alignment horizontal="center" vertical="center"/>
    </xf>
    <xf numFmtId="166" fontId="3" fillId="4" borderId="5" applyAlignment="1" pivotButton="0" quotePrefix="0" xfId="0">
      <alignment horizontal="right" vertical="center"/>
    </xf>
    <xf numFmtId="0" fontId="17" fillId="0" borderId="0" pivotButton="0" quotePrefix="0" xfId="0"/>
    <xf numFmtId="164" fontId="5" fillId="9" borderId="5" applyAlignment="1" pivotButton="0" quotePrefix="0" xfId="0">
      <alignment horizontal="right" vertical="center"/>
    </xf>
    <xf numFmtId="164" fontId="5" fillId="7" borderId="5" applyAlignment="1" pivotButton="0" quotePrefix="0" xfId="0">
      <alignment horizontal="right" vertical="center"/>
    </xf>
    <xf numFmtId="164" fontId="5" fillId="10" borderId="5" applyAlignment="1" pivotButton="0" quotePrefix="0" xfId="0">
      <alignment horizontal="right" vertical="center"/>
    </xf>
    <xf numFmtId="164" fontId="3" fillId="4" borderId="5" applyAlignment="1" pivotButton="0" quotePrefix="0" xfId="0">
      <alignment horizontal="right" vertical="center"/>
    </xf>
    <xf numFmtId="0" fontId="17" fillId="4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18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11" borderId="10" applyAlignment="1" pivotButton="0" quotePrefix="0" xfId="0">
      <alignment horizontal="center" vertical="center" wrapText="1"/>
    </xf>
    <xf numFmtId="0" fontId="21" fillId="12" borderId="10" applyAlignment="1" pivotButton="0" quotePrefix="0" xfId="0">
      <alignment horizontal="left" vertical="center"/>
    </xf>
    <xf numFmtId="0" fontId="0" fillId="0" borderId="10" pivotButton="0" quotePrefix="0" xfId="0"/>
    <xf numFmtId="0" fontId="25" fillId="0" borderId="10" applyAlignment="1" pivotButton="0" quotePrefix="0" xfId="0">
      <alignment horizontal="center" vertical="center"/>
    </xf>
    <xf numFmtId="0" fontId="24" fillId="0" borderId="10" applyAlignment="1" pivotButton="0" quotePrefix="0" xfId="0">
      <alignment horizontal="left" vertical="center" wrapText="1"/>
    </xf>
    <xf numFmtId="3" fontId="24" fillId="0" borderId="10" applyAlignment="1" pivotButton="0" quotePrefix="0" xfId="0">
      <alignment horizontal="center" vertical="center"/>
    </xf>
    <xf numFmtId="164" fontId="22" fillId="13" borderId="10" applyAlignment="1" pivotButton="0" quotePrefix="0" xfId="0">
      <alignment horizontal="right" vertical="center"/>
    </xf>
    <xf numFmtId="165" fontId="23" fillId="14" borderId="10" applyAlignment="1" pivotButton="0" quotePrefix="0" xfId="0">
      <alignment horizontal="right" vertical="center"/>
    </xf>
    <xf numFmtId="164" fontId="23" fillId="14" borderId="10" applyAlignment="1" pivotButton="0" quotePrefix="0" xfId="0">
      <alignment horizontal="right" vertical="center"/>
    </xf>
    <xf numFmtId="0" fontId="7" fillId="11" borderId="10" applyAlignment="1" pivotButton="0" quotePrefix="0" xfId="0">
      <alignment horizontal="right" vertical="center"/>
    </xf>
    <xf numFmtId="164" fontId="7" fillId="11" borderId="10" applyAlignment="1" pivotButton="0" quotePrefix="0" xfId="0">
      <alignment horizontal="right" vertical="center"/>
    </xf>
    <xf numFmtId="0" fontId="0" fillId="11" borderId="10" pivotButton="0" quotePrefix="0" xfId="0"/>
    <xf numFmtId="0" fontId="0" fillId="0" borderId="13" pivotButton="0" quotePrefix="0" xfId="0"/>
    <xf numFmtId="0" fontId="0" fillId="0" borderId="1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NCR / up to 80 MHz Provincial, Software-Configurable 40/50/60/80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14, 2026</t>
        </is>
      </c>
    </row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39" t="inlineStr">
        <is>
          <t>Tender Summary &amp; Instructions</t>
        </is>
      </c>
      <c r="B7" s="39" t="inlineStr">
        <is>
          <t>Instructions &amp; Summary</t>
        </is>
      </c>
      <c r="C7" s="40" t="inlineStr">
        <is>
          <t>Text / Matrix</t>
        </is>
      </c>
      <c r="D7" s="41" t="inlineStr">
        <is>
          <t>Informational</t>
        </is>
      </c>
      <c r="E7" s="42" t="inlineStr">
        <is>
          <t>Overview of bidding currency (USD/PHP), 180-day price validity, scope boundaries, yellow input cell guidelines, and lot descriptions.</t>
        </is>
      </c>
    </row>
    <row r="8">
      <c r="A8" s="43" t="inlineStr">
        <is>
          <t>Lot 1 - RAN &amp; Rollout</t>
        </is>
      </c>
      <c r="B8" s="43" t="inlineStr">
        <is>
          <t>Item Code</t>
        </is>
      </c>
      <c r="C8" s="44" t="inlineStr">
        <is>
          <t>Alphanumeric Code</t>
        </is>
      </c>
      <c r="D8" s="45" t="inlineStr">
        <is>
          <t>Mandatory Code</t>
        </is>
      </c>
      <c r="E8" s="46" t="inlineStr">
        <is>
          <t>Unique reference identifier for RAN hardware and services (e.g. RAN-HW-01 for BBU, RAN-SVC-01 for PMO / Mobilization).</t>
        </is>
      </c>
    </row>
    <row r="9">
      <c r="A9" s="39" t="inlineStr">
        <is>
          <t>Lot 1 - RAN &amp; Rollout</t>
        </is>
      </c>
      <c r="B9" s="39" t="inlineStr">
        <is>
          <t>Item Description</t>
        </is>
      </c>
      <c r="C9" s="40" t="inlineStr">
        <is>
          <t>Text Description</t>
        </is>
      </c>
      <c r="D9" s="41" t="inlineStr">
        <is>
          <t>Specification</t>
        </is>
      </c>
      <c r="E9" s="42" t="inlineStr">
        <is>
          <t>Commercial name of the access equipment subsystem or turnkey rollout engineering activity.</t>
        </is>
      </c>
    </row>
    <row r="10">
      <c r="A10" s="43" t="inlineStr">
        <is>
          <t>Lot 1 - RAN &amp; Rollout</t>
        </is>
      </c>
      <c r="B10" s="43" t="inlineStr">
        <is>
          <t>Detailed Technical Specification</t>
        </is>
      </c>
      <c r="C10" s="44" t="inlineStr">
        <is>
          <t>Text Description</t>
        </is>
      </c>
      <c r="D10" s="45" t="inlineStr">
        <is>
          <t>Compliance Basis</t>
        </is>
      </c>
      <c r="E10" s="46" t="inlineStr">
        <is>
          <t>Mandatory technical standards (e.g., Band n50, 60 MHz NCR / up to 80 MHz Provincial, Software-Configurable 40/50/60/80 MHz TDD, 8T8R 320W RF power, eCPRI interfaces).</t>
        </is>
      </c>
    </row>
    <row r="11">
      <c r="A11" s="39" t="inlineStr">
        <is>
          <t>Lot 1 - RAN &amp; Rollout</t>
        </is>
      </c>
      <c r="B11" s="39" t="inlineStr">
        <is>
          <t>Qty / Site</t>
        </is>
      </c>
      <c r="C11" s="40" t="inlineStr">
        <is>
          <t>Integer</t>
        </is>
      </c>
      <c r="D11" s="41" t="inlineStr">
        <is>
          <t>Dimensioning</t>
        </is>
      </c>
      <c r="E11" s="42" t="inlineStr">
        <is>
          <t>Standard quantity deployed per macro site (e.g., 1 BBU, 3 RRUs, 3 Antennas per 3-sector macro BTS).</t>
        </is>
      </c>
    </row>
    <row r="12">
      <c r="A12" s="43" t="inlineStr">
        <is>
          <t>Lot 1 - RAN &amp; Rollout</t>
        </is>
      </c>
      <c r="B12" s="43" t="inlineStr">
        <is>
          <t>UoM</t>
        </is>
      </c>
      <c r="C12" s="44" t="inlineStr">
        <is>
          <t>Unit of Measure</t>
        </is>
      </c>
      <c r="D12" s="45" t="inlineStr">
        <is>
          <t>Standard UoM</t>
        </is>
      </c>
      <c r="E12" s="46" t="inlineStr">
        <is>
          <t>Commercial billing unit: set, lot, site, or system.</t>
        </is>
      </c>
    </row>
    <row r="13">
      <c r="A13" s="39" t="inlineStr">
        <is>
          <t>Lot 1 - RAN &amp; Rollout</t>
        </is>
      </c>
      <c r="B13" s="39" t="inlineStr">
        <is>
          <t>Unit Rate (USD)</t>
        </is>
      </c>
      <c r="C13" s="40" t="inlineStr">
        <is>
          <t>Currency ($ USD)</t>
        </is>
      </c>
      <c r="D13" s="47" t="inlineStr">
        <is>
          <t>BIDDER TO QUOTE</t>
        </is>
      </c>
      <c r="E13" s="42" t="inlineStr">
        <is>
          <t>Firm, fixed unit price quoted by Bidder in US Dollars (Yellow input cells).</t>
        </is>
      </c>
    </row>
    <row r="14">
      <c r="A14" s="43" t="inlineStr">
        <is>
          <t>Lot 1 - RAN &amp; Rollout</t>
        </is>
      </c>
      <c r="B14" s="43" t="inlineStr">
        <is>
          <t>Total per Site (USD)</t>
        </is>
      </c>
      <c r="C14" s="44" t="inlineStr">
        <is>
          <t>Currency ($ USD)</t>
        </is>
      </c>
      <c r="D14" s="45" t="inlineStr">
        <is>
          <t>Formula (=Qty*Rate)</t>
        </is>
      </c>
      <c r="E14" s="46" t="inlineStr">
        <is>
          <t>Turnkey total access Capex per individual BTS site.</t>
        </is>
      </c>
    </row>
    <row r="15">
      <c r="A15" s="39" t="inlineStr">
        <is>
          <t>Lot 1 - RAN &amp; Rollout</t>
        </is>
      </c>
      <c r="B15" s="39" t="inlineStr">
        <is>
          <t>Phase 1 Total (1,000 Sites)</t>
        </is>
      </c>
      <c r="C15" s="40" t="inlineStr">
        <is>
          <t>Currency ($ USD)</t>
        </is>
      </c>
      <c r="D15" s="41" t="inlineStr">
        <is>
          <t>Formula (=Site*1,000)</t>
        </is>
      </c>
      <c r="E15" s="42" t="inlineStr">
        <is>
          <t>Aggregate Year-1 Capex commitment for Phase 1 priority rollout (1,000 BTS sites).</t>
        </is>
      </c>
    </row>
    <row r="16">
      <c r="A16" s="43" t="inlineStr">
        <is>
          <t>Lot 1 - RAN &amp; Rollout</t>
        </is>
      </c>
      <c r="B16" s="43" t="inlineStr">
        <is>
          <t>Program Total (5,000 Sites)</t>
        </is>
      </c>
      <c r="C16" s="44" t="inlineStr">
        <is>
          <t>Currency ($ USD)</t>
        </is>
      </c>
      <c r="D16" s="45" t="inlineStr">
        <is>
          <t>Formula (=Site*5,000)</t>
        </is>
      </c>
      <c r="E16" s="46" t="inlineStr">
        <is>
          <t>Full 5-year nationwide network Capex commitment across all 5,000 macro sites.</t>
        </is>
      </c>
    </row>
    <row r="17">
      <c r="A17" s="39" t="inlineStr">
        <is>
          <t>Lot 1 - RAN &amp; Rollout</t>
        </is>
      </c>
      <c r="B17" s="39" t="inlineStr">
        <is>
          <t>Remarks / Bidder Model</t>
        </is>
      </c>
      <c r="C17" s="40" t="inlineStr">
        <is>
          <t>Text / Alphanumeric</t>
        </is>
      </c>
      <c r="D17" s="41" t="inlineStr">
        <is>
          <t>Bidder Notes</t>
        </is>
      </c>
      <c r="E17" s="42" t="inlineStr">
        <is>
          <t>Bidder equipment model numbers, hardware datasheets, and compliance cross-references.</t>
        </is>
      </c>
    </row>
    <row r="18">
      <c r="A18" s="43" t="inlineStr">
        <is>
          <t>Lot 2 - Power &amp; Passive</t>
        </is>
      </c>
      <c r="B18" s="43" t="inlineStr">
        <is>
          <t>Item Code</t>
        </is>
      </c>
      <c r="C18" s="44" t="inlineStr">
        <is>
          <t>Alphanumeric Code</t>
        </is>
      </c>
      <c r="D18" s="45" t="inlineStr">
        <is>
          <t>Mandatory Code</t>
        </is>
      </c>
      <c r="E18" s="46" t="inlineStr">
        <is>
          <t>Reference identifier for power systems, batteries, standby generators, and civil monopoles (PWR-01, CIV-01).</t>
        </is>
      </c>
    </row>
    <row r="19">
      <c r="A19" s="39" t="inlineStr">
        <is>
          <t>Lot 2 - Power &amp; Passive</t>
        </is>
      </c>
      <c r="B19" s="39" t="inlineStr">
        <is>
          <t>Equipment Description</t>
        </is>
      </c>
      <c r="C19" s="40" t="inlineStr">
        <is>
          <t>Text Description</t>
        </is>
      </c>
      <c r="D19" s="41" t="inlineStr">
        <is>
          <t>Specification</t>
        </is>
      </c>
      <c r="E19" s="42" t="inlineStr">
        <is>
          <t>Component name (12.0 kW DC Rectifier Plant, LiFePO4 battery bank &gt;=4h @ 3.0 kW autonomy [&gt;=20.0 kWh nom / 400 Ah @ 48V], 15kVA genset, 30m monopole).</t>
        </is>
      </c>
    </row>
    <row r="20">
      <c r="A20" s="43" t="inlineStr">
        <is>
          <t>Lot 2 - Power &amp; Passive</t>
        </is>
      </c>
      <c r="B20" s="43" t="inlineStr">
        <is>
          <t>Technical Specification</t>
        </is>
      </c>
      <c r="C20" s="44" t="inlineStr">
        <is>
          <t>Text Description</t>
        </is>
      </c>
      <c r="D20" s="45" t="inlineStr">
        <is>
          <t>Compliance Basis</t>
        </is>
      </c>
      <c r="E20" s="46" t="inlineStr">
        <is>
          <t>Performance benchmarks: 96% rectifier efficiency (4x 3.0 kW, 12.0 kW installed / 9.0 kW firm N+1 capacity), &gt;= 20.0 kWh nominal LiFePO4 battery storage delivering 4.0h autonomy at 3.0 kW load (&lt;=80% DoD, 80% EOL SoH, loss-based calculation), 15 kVA genset with 72h fuel tank, Class 1.0 revenue submeter.</t>
        </is>
      </c>
    </row>
    <row r="21">
      <c r="A21" s="39" t="inlineStr">
        <is>
          <t>Lot 2 - Power &amp; Passive</t>
        </is>
      </c>
      <c r="B21" s="39" t="inlineStr">
        <is>
          <t>Application</t>
        </is>
      </c>
      <c r="C21" s="40" t="inlineStr">
        <is>
          <t>Category</t>
        </is>
      </c>
      <c r="D21" s="41" t="inlineStr">
        <is>
          <t>Siting Condition</t>
        </is>
      </c>
      <c r="E21" s="42" t="inlineStr">
        <is>
          <t>Applicable site typology: Co-location (Classes T1-T3) vs Greenfield (Class T4).</t>
        </is>
      </c>
    </row>
    <row r="22">
      <c r="A22" s="43" t="inlineStr">
        <is>
          <t>Lot 2 - Power &amp; Passive</t>
        </is>
      </c>
      <c r="B22" s="43" t="inlineStr">
        <is>
          <t>UoM</t>
        </is>
      </c>
      <c r="C22" s="44" t="inlineStr">
        <is>
          <t>Unit of Measure</t>
        </is>
      </c>
      <c r="D22" s="45" t="inlineStr">
        <is>
          <t>Standard UoM</t>
        </is>
      </c>
      <c r="E22" s="46" t="inlineStr">
        <is>
          <t>Billing unit: set, site, or lot.</t>
        </is>
      </c>
    </row>
    <row r="23">
      <c r="A23" s="39" t="inlineStr">
        <is>
          <t>Lot 2 - Power &amp; Passive</t>
        </is>
      </c>
      <c r="B23" s="39" t="inlineStr">
        <is>
          <t>Phase 1 Qty</t>
        </is>
      </c>
      <c r="C23" s="40" t="inlineStr">
        <is>
          <t>Integer</t>
        </is>
      </c>
      <c r="D23" s="41" t="inlineStr">
        <is>
          <t>Volume Quantity</t>
        </is>
      </c>
      <c r="E23" s="42" t="inlineStr">
        <is>
          <t>Phase 1 target deployment quantity (1,000 rectifiers/batteries, 897 tap boxes, 103 gensets/monopoles).</t>
        </is>
      </c>
    </row>
    <row r="24">
      <c r="A24" s="43" t="inlineStr">
        <is>
          <t>Lot 2 - Power &amp; Passive</t>
        </is>
      </c>
      <c r="B24" s="43" t="inlineStr">
        <is>
          <t>Unit Rate (USD)</t>
        </is>
      </c>
      <c r="C24" s="44" t="inlineStr">
        <is>
          <t>Currency ($ USD)</t>
        </is>
      </c>
      <c r="D24" s="47" t="inlineStr">
        <is>
          <t>BIDDER TO QUOTE</t>
        </is>
      </c>
      <c r="E24" s="46" t="inlineStr">
        <is>
          <t>Firm unit rate quoted by Bidder in US Dollars (Yellow input cells).</t>
        </is>
      </c>
    </row>
    <row r="25">
      <c r="A25" s="39" t="inlineStr">
        <is>
          <t>Lot 2 - Power &amp; Passive</t>
        </is>
      </c>
      <c r="B25" s="39" t="inlineStr">
        <is>
          <t>Unit Rate (PHP @ 55)</t>
        </is>
      </c>
      <c r="C25" s="40" t="inlineStr">
        <is>
          <t>Currency (PHP ₱)</t>
        </is>
      </c>
      <c r="D25" s="41" t="inlineStr">
        <is>
          <t>Formula (=USD*55)</t>
        </is>
      </c>
      <c r="E25" s="42" t="inlineStr">
        <is>
          <t>Equivalent local currency amount converted at baseline foreign exchange rate of 55.00 PHP/USD.</t>
        </is>
      </c>
    </row>
    <row r="26">
      <c r="A26" s="43" t="inlineStr">
        <is>
          <t>Lot 2 - Power &amp; Passive</t>
        </is>
      </c>
      <c r="B26" s="43" t="inlineStr">
        <is>
          <t>Phase 1 Total (USD)</t>
        </is>
      </c>
      <c r="C26" s="44" t="inlineStr">
        <is>
          <t>Currency ($ USD)</t>
        </is>
      </c>
      <c r="D26" s="45" t="inlineStr">
        <is>
          <t>Formula (=Qty*Rate)</t>
        </is>
      </c>
      <c r="E26" s="46" t="inlineStr">
        <is>
          <t>Total Phase 1 capital expenditure for Lot 2 power and passive infrastructure.</t>
        </is>
      </c>
    </row>
    <row r="27">
      <c r="A27" s="39" t="inlineStr">
        <is>
          <t>Lot 2 - Power &amp; Passive</t>
        </is>
      </c>
      <c r="B27" s="39" t="inlineStr">
        <is>
          <t>Remarks / Bidder Model</t>
        </is>
      </c>
      <c r="C27" s="40" t="inlineStr">
        <is>
          <t>Text</t>
        </is>
      </c>
      <c r="D27" s="41" t="inlineStr">
        <is>
          <t>Bidder Notes</t>
        </is>
      </c>
      <c r="E27" s="42" t="inlineStr">
        <is>
          <t>Manufacturer make, model, physical dimensions, and battery cycle life curves.</t>
        </is>
      </c>
    </row>
    <row r="28">
      <c r="A28" s="43" t="inlineStr">
        <is>
          <t>Lot 3 - 5G Core</t>
        </is>
      </c>
      <c r="B28" s="43" t="inlineStr">
        <is>
          <t>Item Code</t>
        </is>
      </c>
      <c r="C28" s="44" t="inlineStr">
        <is>
          <t>Alphanumeric Code</t>
        </is>
      </c>
      <c r="D28" s="45" t="inlineStr">
        <is>
          <t>Mandatory Code</t>
        </is>
      </c>
      <c r="E28" s="46" t="inlineStr">
        <is>
          <t>Core hardware and software component code (5GC-HW-01 servers, 5GC-SW-01 1M sub license).</t>
        </is>
      </c>
    </row>
    <row r="29">
      <c r="A29" s="39" t="inlineStr">
        <is>
          <t>Lot 3 - 5G Core</t>
        </is>
      </c>
      <c r="B29" s="39" t="inlineStr">
        <is>
          <t>Core Subsystem</t>
        </is>
      </c>
      <c r="C29" s="40" t="inlineStr">
        <is>
          <t>Text Description</t>
        </is>
      </c>
      <c r="D29" s="41" t="inlineStr">
        <is>
          <t>Subsystem Name</t>
        </is>
      </c>
      <c r="E29" s="42" t="inlineStr">
        <is>
          <t>Functional domain: Compute servers, UPF line-rate nodes, DC leaf-spine fabric, or 5GC SBA software.</t>
        </is>
      </c>
    </row>
    <row r="30">
      <c r="A30" s="43" t="inlineStr">
        <is>
          <t>Lot 3 - 5G Core</t>
        </is>
      </c>
      <c r="B30" s="43" t="inlineStr">
        <is>
          <t>Functional Description &amp; Sizing</t>
        </is>
      </c>
      <c r="C30" s="44" t="inlineStr">
        <is>
          <t>Text Description</t>
        </is>
      </c>
      <c r="D30" s="45" t="inlineStr">
        <is>
          <t>Dimensioning</t>
        </is>
      </c>
      <c r="E30" s="46" t="inlineStr">
        <is>
          <t>Capacity requirements: 80 Gbps usable throughput/node, inline CG-NAT, 1,000,000 registered subscribers.</t>
        </is>
      </c>
    </row>
    <row r="31">
      <c r="A31" s="39" t="inlineStr">
        <is>
          <t>Lot 3 - 5G Core</t>
        </is>
      </c>
      <c r="B31" s="39" t="inlineStr">
        <is>
          <t>Licensing / Delivery</t>
        </is>
      </c>
      <c r="C31" s="40" t="inlineStr">
        <is>
          <t>Commercial Type</t>
        </is>
      </c>
      <c r="D31" s="41" t="inlineStr">
        <is>
          <t>License Model</t>
        </is>
      </c>
      <c r="E31" s="42" t="inlineStr">
        <is>
          <t>Commercial model: Hardware Purchase, Perpetual Software License, or Professional Services.</t>
        </is>
      </c>
    </row>
    <row r="32">
      <c r="A32" s="43" t="inlineStr">
        <is>
          <t>Lot 3 - 5G Core</t>
        </is>
      </c>
      <c r="B32" s="43" t="inlineStr">
        <is>
          <t>UoM</t>
        </is>
      </c>
      <c r="C32" s="44" t="inlineStr">
        <is>
          <t>Unit of Measure</t>
        </is>
      </c>
      <c r="D32" s="45" t="inlineStr">
        <is>
          <t>Standard UoM</t>
        </is>
      </c>
      <c r="E32" s="46" t="inlineStr">
        <is>
          <t>Billing unit: lot, system, or perpetual license.</t>
        </is>
      </c>
    </row>
    <row r="33">
      <c r="A33" s="39" t="inlineStr">
        <is>
          <t>Lot 3 - 5G Core</t>
        </is>
      </c>
      <c r="B33" s="39" t="inlineStr">
        <is>
          <t>Year 1 Price (USD)</t>
        </is>
      </c>
      <c r="C33" s="40" t="inlineStr">
        <is>
          <t>Currency ($ USD)</t>
        </is>
      </c>
      <c r="D33" s="47" t="inlineStr">
        <is>
          <t>BIDDER TO QUOTE</t>
        </is>
      </c>
      <c r="E33" s="42" t="inlineStr">
        <is>
          <t>Total Year-1 turnkey price quoted by Bidder for dual-datacenter active-active deployment.</t>
        </is>
      </c>
    </row>
    <row r="34">
      <c r="A34" s="43" t="inlineStr">
        <is>
          <t>Lot 3 - 5G Core</t>
        </is>
      </c>
      <c r="B34" s="43" t="inlineStr">
        <is>
          <t>Annual AMC %</t>
        </is>
      </c>
      <c r="C34" s="44" t="inlineStr">
        <is>
          <t>Percentage (%)</t>
        </is>
      </c>
      <c r="D34" s="47" t="inlineStr">
        <is>
          <t>BIDDER TO QUOTE</t>
        </is>
      </c>
      <c r="E34" s="46" t="inlineStr">
        <is>
          <t>Annual Maintenance Contract support percentage quoted by Bidder for software &amp; hardware.</t>
        </is>
      </c>
    </row>
    <row r="35">
      <c r="A35" s="39" t="inlineStr">
        <is>
          <t>Lot 3 - 5G Core</t>
        </is>
      </c>
      <c r="B35" s="39" t="inlineStr">
        <is>
          <t>Remarks / Bidder Model</t>
        </is>
      </c>
      <c r="C35" s="40" t="inlineStr">
        <is>
          <t>Text</t>
        </is>
      </c>
      <c r="D35" s="41" t="inlineStr">
        <is>
          <t>Bidder Notes</t>
        </is>
      </c>
      <c r="E35" s="42" t="inlineStr">
        <is>
          <t>Server hardware specifications, VNF/CNF container architecture, and throughput benchmarks.</t>
        </is>
      </c>
    </row>
    <row r="36">
      <c r="A36" s="43" t="inlineStr">
        <is>
          <t>Lot 4 - OSS-BSS</t>
        </is>
      </c>
      <c r="B36" s="43" t="inlineStr">
        <is>
          <t>Item Code</t>
        </is>
      </c>
      <c r="C36" s="44" t="inlineStr">
        <is>
          <t>Alphanumeric Code</t>
        </is>
      </c>
      <c r="D36" s="45" t="inlineStr">
        <is>
          <t>Mandatory Code</t>
        </is>
      </c>
      <c r="E36" s="46" t="inlineStr">
        <is>
          <t>OSS/BSS module code (BSS-01 CRM, BSS-02 CHF Charging, OSS-01 Field Force FMS, OSS-03 WMS).</t>
        </is>
      </c>
    </row>
    <row r="37">
      <c r="A37" s="39" t="inlineStr">
        <is>
          <t>Lot 4 - OSS-BSS</t>
        </is>
      </c>
      <c r="B37" s="39" t="inlineStr">
        <is>
          <t>OSS/BSS Functional Module</t>
        </is>
      </c>
      <c r="C37" s="40" t="inlineStr">
        <is>
          <t>Text Description</t>
        </is>
      </c>
      <c r="D37" s="41" t="inlineStr">
        <is>
          <t>Module Name</t>
        </is>
      </c>
      <c r="E37" s="42" t="inlineStr">
        <is>
          <t>Subsystem functional title: CRM, Rating Engine, Payment Gateway, FMS, or Fault Management.</t>
        </is>
      </c>
    </row>
    <row r="38">
      <c r="A38" s="43" t="inlineStr">
        <is>
          <t>Lot 4 - OSS-BSS</t>
        </is>
      </c>
      <c r="B38" s="43" t="inlineStr">
        <is>
          <t>Functional Scope &amp; Volume Driver</t>
        </is>
      </c>
      <c r="C38" s="44" t="inlineStr">
        <is>
          <t>Text Description</t>
        </is>
      </c>
      <c r="D38" s="45" t="inlineStr">
        <is>
          <t>Volume Sizing</t>
        </is>
      </c>
      <c r="E38" s="46" t="inlineStr">
        <is>
          <t>Scale driver: 4 retail tariffs + SME, real-time Nchf charging, 3,500 daily work orders, 70% CPE reverse logistics.</t>
        </is>
      </c>
    </row>
    <row r="39">
      <c r="A39" s="39" t="inlineStr">
        <is>
          <t>Lot 4 - OSS-BSS</t>
        </is>
      </c>
      <c r="B39" s="39" t="inlineStr">
        <is>
          <t>License Type</t>
        </is>
      </c>
      <c r="C39" s="40" t="inlineStr">
        <is>
          <t>Commercial Type</t>
        </is>
      </c>
      <c r="D39" s="41" t="inlineStr">
        <is>
          <t>License Model</t>
        </is>
      </c>
      <c r="E39" s="42" t="inlineStr">
        <is>
          <t>Licensing model: Perpetual Enterprise, Integration Module, or Professional Services.</t>
        </is>
      </c>
    </row>
    <row r="40">
      <c r="A40" s="43" t="inlineStr">
        <is>
          <t>Lot 4 - OSS-BSS</t>
        </is>
      </c>
      <c r="B40" s="43" t="inlineStr">
        <is>
          <t>UoM</t>
        </is>
      </c>
      <c r="C40" s="44" t="inlineStr">
        <is>
          <t>Unit of Measure</t>
        </is>
      </c>
      <c r="D40" s="45" t="inlineStr">
        <is>
          <t>Standard UoM</t>
        </is>
      </c>
      <c r="E40" s="46" t="inlineStr">
        <is>
          <t>Billing unit: lot, platform, or enterprise license.</t>
        </is>
      </c>
    </row>
    <row r="41">
      <c r="A41" s="39" t="inlineStr">
        <is>
          <t>Lot 4 - OSS-BSS</t>
        </is>
      </c>
      <c r="B41" s="39" t="inlineStr">
        <is>
          <t>Year 1 Price (USD)</t>
        </is>
      </c>
      <c r="C41" s="40" t="inlineStr">
        <is>
          <t>Currency ($ USD)</t>
        </is>
      </c>
      <c r="D41" s="47" t="inlineStr">
        <is>
          <t>BIDDER TO QUOTE</t>
        </is>
      </c>
      <c r="E41" s="42" t="inlineStr">
        <is>
          <t>Turnkey Year-1 Capex quoted by Bidder for 1,000,000 registered subscribers.</t>
        </is>
      </c>
    </row>
    <row r="42">
      <c r="A42" s="43" t="inlineStr">
        <is>
          <t>Lot 4 - OSS-BSS</t>
        </is>
      </c>
      <c r="B42" s="43" t="inlineStr">
        <is>
          <t>Annual AMC %</t>
        </is>
      </c>
      <c r="C42" s="44" t="inlineStr">
        <is>
          <t>Percentage (%)</t>
        </is>
      </c>
      <c r="D42" s="47" t="inlineStr">
        <is>
          <t>BIDDER TO QUOTE</t>
        </is>
      </c>
      <c r="E42" s="46" t="inlineStr">
        <is>
          <t>Annual software support fee percentage quoted by Bidder.</t>
        </is>
      </c>
    </row>
    <row r="43">
      <c r="A43" s="39" t="inlineStr">
        <is>
          <t>Lot 4 - OSS-BSS</t>
        </is>
      </c>
      <c r="B43" s="39" t="inlineStr">
        <is>
          <t>Remarks / Bidder Model</t>
        </is>
      </c>
      <c r="C43" s="40" t="inlineStr">
        <is>
          <t>Text</t>
        </is>
      </c>
      <c r="D43" s="41" t="inlineStr">
        <is>
          <t>Bidder Notes</t>
        </is>
      </c>
      <c r="E43" s="42" t="inlineStr">
        <is>
          <t>Architecture framework, TM Forum Open API compliance, and cloud deployment requirements.</t>
        </is>
      </c>
    </row>
    <row r="44">
      <c r="A44" s="43" t="inlineStr">
        <is>
          <t>Lot 5 - Site Acq &amp; Civils</t>
        </is>
      </c>
      <c r="B44" s="43" t="inlineStr">
        <is>
          <t>Item Code</t>
        </is>
      </c>
      <c r="C44" s="44" t="inlineStr">
        <is>
          <t>Alphanumeric Code</t>
        </is>
      </c>
      <c r="D44" s="45" t="inlineStr">
        <is>
          <t>Mandatory Code</t>
        </is>
      </c>
      <c r="E44" s="46" t="inlineStr">
        <is>
          <t>Reference code for site acquisition, permitting, pad foundation, compound fencing, grounding grid, monopole, and RF optimization (CIV-SVC-01 to CIV-SVC-09).</t>
        </is>
      </c>
    </row>
    <row r="45">
      <c r="A45" s="39" t="inlineStr">
        <is>
          <t>Lot 5 - Site Acq &amp; Civils</t>
        </is>
      </c>
      <c r="B45" s="39" t="inlineStr">
        <is>
          <t>Service / Works Description</t>
        </is>
      </c>
      <c r="C45" s="40" t="inlineStr">
        <is>
          <t>Text Description</t>
        </is>
      </c>
      <c r="D45" s="41" t="inlineStr">
        <is>
          <t>Specification</t>
        </is>
      </c>
      <c r="E45" s="42" t="inlineStr">
        <is>
          <t>Scope title for site engineering, permitting, civil construction, and RF design optimization works.</t>
        </is>
      </c>
    </row>
    <row r="46">
      <c r="A46" s="43" t="inlineStr">
        <is>
          <t>Lot 5 - Site Acq &amp; Civils</t>
        </is>
      </c>
      <c r="B46" s="43" t="inlineStr">
        <is>
          <t>Detailed Scope &amp; Technical Specification</t>
        </is>
      </c>
      <c r="C46" s="44" t="inlineStr">
        <is>
          <t>Text Description</t>
        </is>
      </c>
      <c r="D46" s="45" t="inlineStr">
        <is>
          <t>Scope Definition</t>
        </is>
      </c>
      <c r="E46" s="46" t="inlineStr">
        <is>
          <t>Mandatory engineering parameters: TSSR structural audit, 8x8m compound, pad foundations, 250 km/h wind rating, &lt;=5 Ohm ground ring, 3D ray-tracing design.</t>
        </is>
      </c>
    </row>
    <row r="47">
      <c r="A47" s="39" t="inlineStr">
        <is>
          <t>Lot 5 - Site Acq &amp; Civils</t>
        </is>
      </c>
      <c r="B47" s="39" t="inlineStr">
        <is>
          <t>Application</t>
        </is>
      </c>
      <c r="C47" s="40" t="inlineStr">
        <is>
          <t>Category</t>
        </is>
      </c>
      <c r="D47" s="41" t="inlineStr">
        <is>
          <t>Siting Typology</t>
        </is>
      </c>
      <c r="E47" s="42" t="inlineStr">
        <is>
          <t>Siting condition: Leased TowerCo co-locations (897 sites), Greenfield Monopoles (103 Class T4 sites), or All Sites (1,000 footprint).</t>
        </is>
      </c>
    </row>
    <row r="48">
      <c r="A48" s="43" t="inlineStr">
        <is>
          <t>Lot 5 - Site Acq &amp; Civils</t>
        </is>
      </c>
      <c r="B48" s="43" t="inlineStr">
        <is>
          <t>UoM</t>
        </is>
      </c>
      <c r="C48" s="44" t="inlineStr">
        <is>
          <t>Unit of Measure</t>
        </is>
      </c>
      <c r="D48" s="45" t="inlineStr">
        <is>
          <t>Standard UoM</t>
        </is>
      </c>
      <c r="E48" s="46" t="inlineStr">
        <is>
          <t>Commercial billing unit: site, set, or lot.</t>
        </is>
      </c>
    </row>
    <row r="49">
      <c r="A49" s="39" t="inlineStr">
        <is>
          <t>Lot 5 - Site Acq &amp; Civils</t>
        </is>
      </c>
      <c r="B49" s="39" t="inlineStr">
        <is>
          <t>Phase 1 Qty</t>
        </is>
      </c>
      <c r="C49" s="40" t="inlineStr">
        <is>
          <t>Integer</t>
        </is>
      </c>
      <c r="D49" s="41" t="inlineStr">
        <is>
          <t>Volume Quantity</t>
        </is>
      </c>
      <c r="E49" s="42" t="inlineStr">
        <is>
          <t>Total quantity deployed in Phase 1 (e.g. 1,000 TSSRs, 103 greenfield compounds, 897 equipment pads).</t>
        </is>
      </c>
    </row>
    <row r="50">
      <c r="A50" s="43" t="inlineStr">
        <is>
          <t>Lot 5 - Site Acq &amp; Civils</t>
        </is>
      </c>
      <c r="B50" s="43" t="inlineStr">
        <is>
          <t>Unit Rate (USD)</t>
        </is>
      </c>
      <c r="C50" s="44" t="inlineStr">
        <is>
          <t>Currency ($ USD)</t>
        </is>
      </c>
      <c r="D50" s="47" t="inlineStr">
        <is>
          <t>BIDDER TO QUOTE</t>
        </is>
      </c>
      <c r="E50" s="46" t="inlineStr">
        <is>
          <t>Firm turnkey service or civil unit rate quoted by Bidder in US Dollars (Yellow input cells).</t>
        </is>
      </c>
    </row>
    <row r="51">
      <c r="A51" s="39" t="inlineStr">
        <is>
          <t>Lot 5 - Site Acq &amp; Civils</t>
        </is>
      </c>
      <c r="B51" s="39" t="inlineStr">
        <is>
          <t>Unit Rate (PHP @ 55)</t>
        </is>
      </c>
      <c r="C51" s="40" t="inlineStr">
        <is>
          <t>Currency (PHP ₱)</t>
        </is>
      </c>
      <c r="D51" s="41" t="inlineStr">
        <is>
          <t>Formula (=USD*55)</t>
        </is>
      </c>
      <c r="E51" s="42" t="inlineStr">
        <is>
          <t>Equivalent Philippine Peso rate calculated at baseline exchange rate of 55.00 PHP/USD.</t>
        </is>
      </c>
    </row>
    <row r="52">
      <c r="A52" s="43" t="inlineStr">
        <is>
          <t>Lot 5 - Site Acq &amp; Civils</t>
        </is>
      </c>
      <c r="B52" s="43" t="inlineStr">
        <is>
          <t>Phase 1 Total (USD)</t>
        </is>
      </c>
      <c r="C52" s="44" t="inlineStr">
        <is>
          <t>Currency ($ USD)</t>
        </is>
      </c>
      <c r="D52" s="45" t="inlineStr">
        <is>
          <t>Formula (=Qty*Rate)</t>
        </is>
      </c>
      <c r="E52" s="46" t="inlineStr">
        <is>
          <t>Total Phase 1 capital expenditure for site civil and acquisition services.</t>
        </is>
      </c>
    </row>
    <row r="53">
      <c r="A53" s="39" t="inlineStr">
        <is>
          <t>Lot 5 - Site Acq &amp; Civils</t>
        </is>
      </c>
      <c r="B53" s="39" t="inlineStr">
        <is>
          <t>Remarks / Bidder Methodology</t>
        </is>
      </c>
      <c r="C53" s="40" t="inlineStr">
        <is>
          <t>Text Description</t>
        </is>
      </c>
      <c r="D53" s="41" t="inlineStr">
        <is>
          <t>Bidder Notes</t>
        </is>
      </c>
      <c r="E53" s="42" t="inlineStr">
        <is>
          <t>Contractor mobilization strategy, civil construction timeline, and local subcontractor references.</t>
        </is>
      </c>
    </row>
    <row r="54">
      <c r="A54" s="43" t="inlineStr">
        <is>
          <t>Lot 6 - Managed Services</t>
        </is>
      </c>
      <c r="B54" s="43" t="inlineStr">
        <is>
          <t>Item Code</t>
        </is>
      </c>
      <c r="C54" s="44" t="inlineStr">
        <is>
          <t>Alphanumeric Code</t>
        </is>
      </c>
      <c r="D54" s="45" t="inlineStr">
        <is>
          <t>Mandatory Code</t>
        </is>
      </c>
      <c r="E54" s="46" t="inlineStr">
        <is>
          <t>Managed services operational scope code (MS-01 NOC, MS-02 FLM, MS-03 PM, MS-04 SPMS, MS-05 Genset).</t>
        </is>
      </c>
    </row>
    <row r="55">
      <c r="A55" s="39" t="inlineStr">
        <is>
          <t>Lot 6 - Managed Services</t>
        </is>
      </c>
      <c r="B55" s="39" t="inlineStr">
        <is>
          <t>Service Domain</t>
        </is>
      </c>
      <c r="C55" s="40" t="inlineStr">
        <is>
          <t>Text Description</t>
        </is>
      </c>
      <c r="D55" s="41" t="inlineStr">
        <is>
          <t>Scope Area</t>
        </is>
      </c>
      <c r="E55" s="42" t="inlineStr">
        <is>
          <t>Operational responsibility domain: 24/7 NOC surveillance, field maintenance, preventive checks, spares.</t>
        </is>
      </c>
    </row>
    <row r="56">
      <c r="A56" s="43" t="inlineStr">
        <is>
          <t>Lot 6 - Managed Services</t>
        </is>
      </c>
      <c r="B56" s="43" t="inlineStr">
        <is>
          <t>Operational Scope of Work</t>
        </is>
      </c>
      <c r="C56" s="44" t="inlineStr">
        <is>
          <t>Text Description</t>
        </is>
      </c>
      <c r="D56" s="45" t="inlineStr">
        <is>
          <t>Service Scope</t>
        </is>
      </c>
      <c r="E56" s="46" t="inlineStr">
        <is>
          <t>Detailed SLA scope: Continuous alarm monitoring, 2-4 hr MTTR, quarterly site audits, NBD spares delivery.</t>
        </is>
      </c>
    </row>
    <row r="57">
      <c r="A57" s="39" t="inlineStr">
        <is>
          <t>Lot 6 - Managed Services</t>
        </is>
      </c>
      <c r="B57" s="39" t="inlineStr">
        <is>
          <t>SLA Target</t>
        </is>
      </c>
      <c r="C57" s="40" t="inlineStr">
        <is>
          <t>SLA Target</t>
        </is>
      </c>
      <c r="D57" s="41" t="inlineStr">
        <is>
          <t>Binding Metric</t>
        </is>
      </c>
      <c r="E57" s="42" t="inlineStr">
        <is>
          <t>SLA metric: 99.95% Target (99.70% Min Contractual Floor), MTTR &lt;= 2h Urban / &lt;= 4h Rural, 100% PM completion.</t>
        </is>
      </c>
    </row>
    <row r="58">
      <c r="A58" s="43" t="inlineStr">
        <is>
          <t>Lot 6 - Managed Services</t>
        </is>
      </c>
      <c r="B58" s="43" t="inlineStr">
        <is>
          <t>Monthly Rate / Site (PHP)</t>
        </is>
      </c>
      <c r="C58" s="44" t="inlineStr">
        <is>
          <t>Currency (PHP ₱)</t>
        </is>
      </c>
      <c r="D58" s="47" t="inlineStr">
        <is>
          <t>BIDDER TO QUOTE</t>
        </is>
      </c>
      <c r="E58" s="46" t="inlineStr">
        <is>
          <t>Firm monthly operational managed service fee per active BTS site quoted by Bidder in PHP.</t>
        </is>
      </c>
    </row>
    <row r="59">
      <c r="A59" s="39" t="inlineStr">
        <is>
          <t>Lot 6 - Managed Services</t>
        </is>
      </c>
      <c r="B59" s="39" t="inlineStr">
        <is>
          <t>Monthly Rate (USD @ 55)</t>
        </is>
      </c>
      <c r="C59" s="40" t="inlineStr">
        <is>
          <t>Currency ($ USD)</t>
        </is>
      </c>
      <c r="D59" s="41" t="inlineStr">
        <is>
          <t>Formula (=PHP/55)</t>
        </is>
      </c>
      <c r="E59" s="42" t="inlineStr">
        <is>
          <t>Monthly rate per site converted to USD at 55.00 baseline FX.</t>
        </is>
      </c>
    </row>
    <row r="60">
      <c r="A60" s="43" t="inlineStr">
        <is>
          <t>Lot 6 - Managed Services</t>
        </is>
      </c>
      <c r="B60" s="43" t="inlineStr">
        <is>
          <t>Annual Cost / Site (USD)</t>
        </is>
      </c>
      <c r="C60" s="44" t="inlineStr">
        <is>
          <t>Currency ($ USD)</t>
        </is>
      </c>
      <c r="D60" s="45" t="inlineStr">
        <is>
          <t>Formula (=USD*12)</t>
        </is>
      </c>
      <c r="E60" s="46" t="inlineStr">
        <is>
          <t>Annualized active telecom O&amp;M cost per site.</t>
        </is>
      </c>
    </row>
    <row r="61">
      <c r="A61" s="39" t="inlineStr">
        <is>
          <t>Lot 6 - Managed Services</t>
        </is>
      </c>
      <c r="B61" s="39" t="inlineStr">
        <is>
          <t>Remarks</t>
        </is>
      </c>
      <c r="C61" s="40" t="inlineStr">
        <is>
          <t>Text</t>
        </is>
      </c>
      <c r="D61" s="41" t="inlineStr">
        <is>
          <t>Bidder Notes</t>
        </is>
      </c>
      <c r="E61" s="42" t="inlineStr">
        <is>
          <t>Staffing dimensioning, field depot locations, and escalation management details.</t>
        </is>
      </c>
    </row>
    <row r="62">
      <c r="A62" s="43" t="inlineStr">
        <is>
          <t>Lot 7 - 5G CPE</t>
        </is>
      </c>
      <c r="B62" s="43" t="inlineStr">
        <is>
          <t>Item Code</t>
        </is>
      </c>
      <c r="C62" s="44" t="inlineStr">
        <is>
          <t>Alphanumeric Code</t>
        </is>
      </c>
      <c r="D62" s="45" t="inlineStr">
        <is>
          <t>Mandatory Code</t>
        </is>
      </c>
      <c r="E62" s="46" t="inlineStr">
        <is>
          <t>CPE terminal model reference code (CPE-01 Indoor Wi-Fi 6, CPE-02 Outdoor high gain, CPE-SVC Staging).</t>
        </is>
      </c>
    </row>
    <row r="63">
      <c r="A63" s="39" t="inlineStr">
        <is>
          <t>Lot 7 - 5G CPE</t>
        </is>
      </c>
      <c r="B63" s="39" t="inlineStr">
        <is>
          <t>CPE Terminal Model</t>
        </is>
      </c>
      <c r="C63" s="40" t="inlineStr">
        <is>
          <t>Text Description</t>
        </is>
      </c>
      <c r="D63" s="41" t="inlineStr">
        <is>
          <t>Device Model</t>
        </is>
      </c>
      <c r="E63" s="42" t="inlineStr">
        <is>
          <t>Commercial terminal description (Indoor 5G High-Gain Router, Outdoor IP67 Package with PoE and bundled Wi-Fi 6 router).</t>
        </is>
      </c>
    </row>
    <row r="64">
      <c r="A64" s="43" t="inlineStr">
        <is>
          <t>Lot 7 - 5G CPE</t>
        </is>
      </c>
      <c r="B64" s="43" t="inlineStr">
        <is>
          <t>Technical Specifications</t>
        </is>
      </c>
      <c r="C64" s="44" t="inlineStr">
        <is>
          <t>Text Description</t>
        </is>
      </c>
      <c r="D64" s="45" t="inlineStr">
        <is>
          <t>Device Spec</t>
        </is>
      </c>
      <c r="E64" s="46" t="inlineStr">
        <is>
          <t>3GPP R16 5G NR Band n50 native, 8-10 dBi internal antenna (&gt;=12 dBi outdoor), Wi-Fi 6 AX1800, 2.5GE port, TR-069 / TR-369.</t>
        </is>
      </c>
    </row>
    <row r="65">
      <c r="A65" s="39" t="inlineStr">
        <is>
          <t>Lot 7 - 5G CPE</t>
        </is>
      </c>
      <c r="B65" s="39" t="inlineStr">
        <is>
          <t>Target Order Qty (P1)</t>
        </is>
      </c>
      <c r="C65" s="40" t="inlineStr">
        <is>
          <t>Integer</t>
        </is>
      </c>
      <c r="D65" s="41" t="inlineStr">
        <is>
          <t>Volume Quantity</t>
        </is>
      </c>
      <c r="E65" s="42" t="inlineStr">
        <is>
          <t>Phase 1 baseline volume order: 350,000 indoor + 15,000 outdoor units (365,000 total terminals).</t>
        </is>
      </c>
    </row>
    <row r="66">
      <c r="A66" s="43" t="inlineStr">
        <is>
          <t>Lot 7 - 5G CPE</t>
        </is>
      </c>
      <c r="B66" s="43" t="inlineStr">
        <is>
          <t>UoM</t>
        </is>
      </c>
      <c r="C66" s="44" t="inlineStr">
        <is>
          <t>Unit of Measure</t>
        </is>
      </c>
      <c r="D66" s="45" t="inlineStr">
        <is>
          <t>Standard UoM</t>
        </is>
      </c>
      <c r="E66" s="46" t="inlineStr">
        <is>
          <t>Billing unit: units or devices.</t>
        </is>
      </c>
    </row>
    <row r="67">
      <c r="A67" s="39" t="inlineStr">
        <is>
          <t>Lot 7 - 5G CPE</t>
        </is>
      </c>
      <c r="B67" s="39" t="inlineStr">
        <is>
          <t>Unit Rate (USD)</t>
        </is>
      </c>
      <c r="C67" s="40" t="inlineStr">
        <is>
          <t>Currency ($ USD)</t>
        </is>
      </c>
      <c r="D67" s="47" t="inlineStr">
        <is>
          <t>BIDDER TO QUOTE</t>
        </is>
      </c>
      <c r="E67" s="42" t="inlineStr">
        <is>
          <t>Firm unit purchase price quoted by Bidder in volume packaging in USD (Yellow input cells).</t>
        </is>
      </c>
    </row>
    <row r="68">
      <c r="A68" s="43" t="inlineStr">
        <is>
          <t>Lot 7 - 5G CPE</t>
        </is>
      </c>
      <c r="B68" s="43" t="inlineStr">
        <is>
          <t>Total Phase 1 Cost (USD)</t>
        </is>
      </c>
      <c r="C68" s="44" t="inlineStr">
        <is>
          <t>Currency ($ USD)</t>
        </is>
      </c>
      <c r="D68" s="45" t="inlineStr">
        <is>
          <t>Formula (=Qty*Rate)</t>
        </is>
      </c>
      <c r="E68" s="46" t="inlineStr">
        <is>
          <t>Total initial CPE capital expenditure calculated from Bidder quoted unit rate.</t>
        </is>
      </c>
    </row>
    <row r="69">
      <c r="A69" s="39" t="inlineStr">
        <is>
          <t>Lot 7 - 5G CPE</t>
        </is>
      </c>
      <c r="B69" s="39" t="inlineStr">
        <is>
          <t>Remarks / Bidder Model</t>
        </is>
      </c>
      <c r="C69" s="40" t="inlineStr">
        <is>
          <t>Text</t>
        </is>
      </c>
      <c r="D69" s="41" t="inlineStr">
        <is>
          <t>Bidder Notes</t>
        </is>
      </c>
      <c r="E69" s="42" t="inlineStr">
        <is>
          <t>Offered manufacturer make, product model number, chipset platform, and lead times.</t>
        </is>
      </c>
    </row>
    <row r="70">
      <c r="A70" s="43" t="inlineStr">
        <is>
          <t>Form C - 10-Year TCO Schedule</t>
        </is>
      </c>
      <c r="B70" s="43" t="inlineStr">
        <is>
          <t>Cost Category / Lifecycle Element</t>
        </is>
      </c>
      <c r="C70" s="44" t="inlineStr">
        <is>
          <t>Text Description</t>
        </is>
      </c>
      <c r="D70" s="45" t="inlineStr">
        <is>
          <t>Category Identifier</t>
        </is>
      </c>
      <c r="E70" s="46" t="inlineStr">
        <is>
          <t>High-level Capex and Opex lifecycle cost domain covering RAN, Core, OSS/BSS, CPE, Tower Leases, Fiber Transmission, Spares, and Managed Services.</t>
        </is>
      </c>
    </row>
    <row r="71">
      <c r="A71" s="39" t="inlineStr">
        <is>
          <t>Form C - 10-Year TCO Schedule</t>
        </is>
      </c>
      <c r="B71" s="39" t="inlineStr">
        <is>
          <t>Phase 1 Capex (Yr 1)</t>
        </is>
      </c>
      <c r="C71" s="40" t="inlineStr">
        <is>
          <t>Currency ($ USD)</t>
        </is>
      </c>
      <c r="D71" s="41" t="inlineStr">
        <is>
          <t>Formula / Bidder Input</t>
        </is>
      </c>
      <c r="E71" s="42" t="inlineStr">
        <is>
          <t>Initial Phase 1 capital investment committed for Day-1 network footprint (1,000 macro BTS sites turnkey rollout across Lots 1, 2, and 5).</t>
        </is>
      </c>
    </row>
    <row r="72">
      <c r="A72" s="43" t="inlineStr">
        <is>
          <t>Form C - 10-Year TCO Schedule</t>
        </is>
      </c>
      <c r="B72" s="43" t="inlineStr">
        <is>
          <t>Yr 2</t>
        </is>
      </c>
      <c r="C72" s="44" t="inlineStr">
        <is>
          <t>Currency ($ USD)</t>
        </is>
      </c>
      <c r="D72" s="45" t="inlineStr">
        <is>
          <t>Formula / Bidder Input</t>
        </is>
      </c>
      <c r="E72" s="46" t="inlineStr">
        <is>
          <t>Year 2 network expansion capex, subscriber terminal additions, and operational lifecycle expenditure.</t>
        </is>
      </c>
    </row>
    <row r="73">
      <c r="A73" s="39" t="inlineStr">
        <is>
          <t>Form C - 10-Year TCO Schedule</t>
        </is>
      </c>
      <c r="B73" s="39" t="inlineStr">
        <is>
          <t>Yr 3</t>
        </is>
      </c>
      <c r="C73" s="40" t="inlineStr">
        <is>
          <t>Currency ($ USD)</t>
        </is>
      </c>
      <c r="D73" s="41" t="inlineStr">
        <is>
          <t>Formula / Bidder Input</t>
        </is>
      </c>
      <c r="E73" s="42" t="inlineStr">
        <is>
          <t>Year 3 network expansion capex, subscriber terminal additions, and operational lifecycle expenditure.</t>
        </is>
      </c>
    </row>
    <row r="74">
      <c r="A74" s="43" t="inlineStr">
        <is>
          <t>Form C - 10-Year TCO Schedule</t>
        </is>
      </c>
      <c r="B74" s="43" t="inlineStr">
        <is>
          <t>Yr 4</t>
        </is>
      </c>
      <c r="C74" s="44" t="inlineStr">
        <is>
          <t>Currency ($ USD)</t>
        </is>
      </c>
      <c r="D74" s="45" t="inlineStr">
        <is>
          <t>Formula / Bidder Input</t>
        </is>
      </c>
      <c r="E74" s="46" t="inlineStr">
        <is>
          <t>Year 4 network expansion capex, subscriber terminal additions, and operational lifecycle expenditure.</t>
        </is>
      </c>
    </row>
    <row r="75">
      <c r="A75" s="39" t="inlineStr">
        <is>
          <t>Form C - 10-Year TCO Schedule</t>
        </is>
      </c>
      <c r="B75" s="39" t="inlineStr">
        <is>
          <t>Yr 5</t>
        </is>
      </c>
      <c r="C75" s="40" t="inlineStr">
        <is>
          <t>Currency ($ USD)</t>
        </is>
      </c>
      <c r="D75" s="41" t="inlineStr">
        <is>
          <t>Formula / Bidder Input</t>
        </is>
      </c>
      <c r="E75" s="42" t="inlineStr">
        <is>
          <t>Year 5 network expansion capex reaching nationwide 5,000 sites and commercial terminal additions.</t>
        </is>
      </c>
    </row>
    <row r="76">
      <c r="A76" s="43" t="inlineStr">
        <is>
          <t>Form C - 10-Year TCO Schedule</t>
        </is>
      </c>
      <c r="B76" s="43" t="inlineStr">
        <is>
          <t>Yrs 6-10 Cumulative</t>
        </is>
      </c>
      <c r="C76" s="44" t="inlineStr">
        <is>
          <t>Currency ($ USD)</t>
        </is>
      </c>
      <c r="D76" s="45" t="inlineStr">
        <is>
          <t>Formula / Bidder Input</t>
        </is>
      </c>
      <c r="E76" s="46" t="inlineStr">
        <is>
          <t>Total cumulative lifecycle OPEX, hardware refresh, and software maintenance support across Years 6 through 10.</t>
        </is>
      </c>
    </row>
    <row r="77">
      <c r="A77" s="39" t="inlineStr">
        <is>
          <t>Form C - 10-Year TCO Schedule</t>
        </is>
      </c>
      <c r="B77" s="39" t="inlineStr">
        <is>
          <t>10-Year Total TCO (USD)</t>
        </is>
      </c>
      <c r="C77" s="40" t="inlineStr">
        <is>
          <t>Currency ($ USD)</t>
        </is>
      </c>
      <c r="D77" s="41" t="inlineStr">
        <is>
          <t>Formula (=SUM(Y1:Y10))</t>
        </is>
      </c>
      <c r="E77" s="42" t="inlineStr">
        <is>
          <t>Complete 10-year Total Cost of Ownership evaluating turnkey lifecycle economics for QCBS financial scoring.</t>
        </is>
      </c>
    </row>
    <row r="78">
      <c r="A78" s="43" t="inlineStr">
        <is>
          <t>Form C - 10-Year TCO Schedule</t>
        </is>
      </c>
      <c r="B78" s="43" t="inlineStr">
        <is>
          <t>Notes &amp; Pricing Assumptions</t>
        </is>
      </c>
      <c r="C78" s="44" t="inlineStr">
        <is>
          <t>Text Description</t>
        </is>
      </c>
      <c r="D78" s="45" t="inlineStr">
        <is>
          <t>Bidder Assumptions</t>
        </is>
      </c>
      <c r="E78" s="46" t="inlineStr">
        <is>
          <t>Underlying cost drivers, expansion pacing, discount structures, inflation assumptions, and software lifecycle renewals.</t>
        </is>
      </c>
    </row>
    <row r="79">
      <c r="A79" s="39" t="inlineStr">
        <is>
          <t>Form D - Vendor Financing</t>
        </is>
      </c>
      <c r="B79" s="39" t="inlineStr">
        <is>
          <t>Parameter Ref</t>
        </is>
      </c>
      <c r="C79" s="40" t="inlineStr">
        <is>
          <t>Alphanumeric Code</t>
        </is>
      </c>
      <c r="D79" s="41" t="inlineStr">
        <is>
          <t>Reference ID</t>
        </is>
      </c>
      <c r="E79" s="42" t="inlineStr">
        <is>
          <t>Financing covenant parameter identifier from FIN-01 to FIN-09.</t>
        </is>
      </c>
    </row>
    <row r="80">
      <c r="A80" s="43" t="inlineStr">
        <is>
          <t>Form D - Vendor Financing</t>
        </is>
      </c>
      <c r="B80" s="43" t="inlineStr">
        <is>
          <t>Financing Term / Condition</t>
        </is>
      </c>
      <c r="C80" s="44" t="inlineStr">
        <is>
          <t>Text Description</t>
        </is>
      </c>
      <c r="D80" s="45" t="inlineStr">
        <is>
          <t>Term Name</t>
        </is>
      </c>
      <c r="E80" s="46" t="inlineStr">
        <is>
          <t>Mandatory financing parameter: Structure, Quantum (% Capex), Downpayment, Tenor, Grace Period, Interest Rate, Repayment Cadence, Security/Pledge, Committee Approval.</t>
        </is>
      </c>
    </row>
    <row r="81">
      <c r="A81" s="39" t="inlineStr">
        <is>
          <t>Form D - Vendor Financing</t>
        </is>
      </c>
      <c r="B81" s="39" t="inlineStr">
        <is>
          <t>Operator Mandatory Requirement</t>
        </is>
      </c>
      <c r="C81" s="40" t="inlineStr">
        <is>
          <t>Text / Benchmark</t>
        </is>
      </c>
      <c r="D81" s="41" t="inlineStr">
        <is>
          <t>Mandatory Rule</t>
        </is>
      </c>
      <c r="E81" s="42" t="inlineStr">
        <is>
          <t>Mandatory parameters: &gt;=80.0% Capex debt, &lt;=20.0% downpayment, flexible facility tenor up to 20 years (minimum 4 years, 5+ years preferred), deferred principal repayment / grace period up to 10 years (minimum 12 months, 18+ months preferred), competitive benchmark to SOFR + spread or fixed &lt;= 6.50% p.a.</t>
        </is>
      </c>
    </row>
    <row r="82">
      <c r="A82" s="43" t="inlineStr">
        <is>
          <t>Form D - Vendor Financing</t>
        </is>
      </c>
      <c r="B82" s="43" t="inlineStr">
        <is>
          <t>Bidder Binding Offer [Bidder Input]</t>
        </is>
      </c>
      <c r="C82" s="44" t="inlineStr">
        <is>
          <t>Text / Values</t>
        </is>
      </c>
      <c r="D82" s="47" t="inlineStr">
        <is>
          <t>BIDDER TO COMPLETE</t>
        </is>
      </c>
      <c r="E82" s="46" t="inlineStr">
        <is>
          <t>Contractually binding financing terms proposed by the Bidder and financing syndicate (Yellow input cells).</t>
        </is>
      </c>
    </row>
    <row r="83">
      <c r="A83" s="39" t="inlineStr">
        <is>
          <t>Form D - Vendor Financing</t>
        </is>
      </c>
      <c r="B83" s="39" t="inlineStr">
        <is>
          <t>Compliance / Notes</t>
        </is>
      </c>
      <c r="C83" s="40" t="inlineStr">
        <is>
          <t>Text Description</t>
        </is>
      </c>
      <c r="D83" s="41" t="inlineStr">
        <is>
          <t>Bidder Notes</t>
        </is>
      </c>
      <c r="E83" s="42" t="inlineStr">
        <is>
          <t>Compliance confirmation (Compliant / Minor Deviation / Exception), ECA facility details (e.g. Sinosure, EKN, Finnvera, JBIC), term sheet references, and drawdown conditions.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NCR / up to 80 MHz Provincial, Software-Configurable 40/50/60/80 MHz TDD) | 5,000 Sites Footprint</t>
        </is>
      </c>
    </row>
    <row r="3">
      <c r="A3" s="3" t="inlineStr">
        <is>
          <t>Operator: Telecommunications Technology Solutions Incorporated (TelTech)</t>
        </is>
      </c>
    </row>
    <row r="4">
      <c r="A4" t="inlineStr">
        <is>
          <t>Tender Document Reference: RFP-TELTECH-FWA-2026-001 | Version: Official Bidding Version</t>
        </is>
      </c>
    </row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17" t="inlineStr">
        <is>
          <t>Lot 5: Site Acquisition, Detailed Site Survey (TSSR), RF Design &amp; Civil Works</t>
        </is>
      </c>
      <c r="B18" s="17" t="inlineStr">
        <is>
          <t>Lot 5 - Site Acq &amp; Civils</t>
        </is>
      </c>
    </row>
    <row r="19">
      <c r="A19" s="3" t="inlineStr">
        <is>
          <t>Lot 6: Managed Services &amp; 24/7 First Line Maintenance</t>
        </is>
      </c>
      <c r="B19" s="7" t="inlineStr">
        <is>
          <t>Lot 6 - Managed Services</t>
        </is>
      </c>
    </row>
    <row r="20">
      <c r="A20" s="3" t="inlineStr">
        <is>
          <t>Lot 7: 5G High-Gain Customer Premises Equipment (CPE)</t>
        </is>
      </c>
      <c r="B20" s="7" t="inlineStr">
        <is>
          <t>Lot 7 - 5G CPE</t>
        </is>
      </c>
    </row>
    <row r="21">
      <c r="A21" s="3" t="inlineStr">
        <is>
          <t>Form D: Mandatory Vendor Financing Proposal</t>
        </is>
      </c>
      <c r="B21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up to 80 MHz IBW (1437–1517 MHz, full 1432–1517 MHz hardware tuning range),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 (60 MHz NCR / up to 80 MHz Provincial, software-configurable 40/50/60/80 MHz TDD),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49" t="inlineStr">
        <is>
          <t>RAN-SVC-01</t>
        </is>
      </c>
      <c r="B11" s="50" t="inlineStr">
        <is>
          <t>Project Management &amp; Rollout Mobilization</t>
        </is>
      </c>
      <c r="C11" s="51" t="inlineStr">
        <is>
          <t>Dedicated rollout PMO, milestone scheduling, vendor coordination, QA &amp; safety management</t>
        </is>
      </c>
      <c r="D11" s="49" t="n">
        <v>1</v>
      </c>
      <c r="E11" s="49" t="inlineStr">
        <is>
          <t>site</t>
        </is>
      </c>
      <c r="F11" s="67" t="n"/>
      <c r="G11" s="68">
        <f>D11*F11</f>
        <v/>
      </c>
      <c r="H11" s="68">
        <f>G11*1000</f>
        <v/>
      </c>
      <c r="I11" s="68">
        <f>G11*5000</f>
        <v/>
      </c>
      <c r="J11" s="50" t="inlineStr">
        <is>
          <t>Dedicated physical deployment service</t>
        </is>
      </c>
    </row>
    <row r="12">
      <c r="A12" s="56" t="inlineStr">
        <is>
          <t>RAN-SVC-02</t>
        </is>
      </c>
      <c r="B12" s="57" t="inlineStr">
        <is>
          <t>Installation, Testing &amp; Commissioning (I&amp;C)</t>
        </is>
      </c>
      <c r="C12" s="58" t="inlineStr">
        <is>
          <t>Rigging, antenna/RRU mount, optical cabling, BBU wiring, DC power termination, turn-up</t>
        </is>
      </c>
      <c r="D12" s="56" t="n">
        <v>1</v>
      </c>
      <c r="E12" s="56" t="inlineStr">
        <is>
          <t>site</t>
        </is>
      </c>
      <c r="F12" s="67" t="n"/>
      <c r="G12" s="69">
        <f>D12*F12</f>
        <v/>
      </c>
      <c r="H12" s="69">
        <f>G12*1000</f>
        <v/>
      </c>
      <c r="I12" s="69">
        <f>G12*5000</f>
        <v/>
      </c>
      <c r="J12" s="57" t="inlineStr">
        <is>
          <t>Dedicated physical deployment service</t>
        </is>
      </c>
    </row>
    <row r="13">
      <c r="A13" s="49" t="inlineStr">
        <is>
          <t>RAN-SVC-03</t>
        </is>
      </c>
      <c r="B13" s="50" t="inlineStr">
        <is>
          <t>Single Site Verification &amp; Acceptance (SSV/SSO)</t>
        </is>
      </c>
      <c r="C13" s="51" t="inlineStr">
        <is>
          <t>Stationary throughput, 3-sector call testing, ping, eRET tilt validation, SSV report</t>
        </is>
      </c>
      <c r="D13" s="49" t="n">
        <v>1</v>
      </c>
      <c r="E13" s="49" t="inlineStr">
        <is>
          <t>site</t>
        </is>
      </c>
      <c r="F13" s="67" t="n"/>
      <c r="G13" s="68">
        <f>D13*F13</f>
        <v/>
      </c>
      <c r="H13" s="68">
        <f>G13*1000</f>
        <v/>
      </c>
      <c r="I13" s="68">
        <f>G13*5000</f>
        <v/>
      </c>
      <c r="J13" s="50" t="inlineStr">
        <is>
          <t>Dedicated physical deployment service</t>
        </is>
      </c>
    </row>
    <row r="14">
      <c r="A14" s="56" t="inlineStr">
        <is>
          <t>RAN-SVC-04</t>
        </is>
      </c>
      <c r="B14" s="57" t="inlineStr">
        <is>
          <t>Central Warehousing &amp; Buffer Staging</t>
        </is>
      </c>
      <c r="C14" s="58" t="inlineStr">
        <is>
          <t>Serial-level barcode asset tagging, climate-controlled storage, kitting &amp; buffer stock</t>
        </is>
      </c>
      <c r="D14" s="56" t="n">
        <v>1</v>
      </c>
      <c r="E14" s="56" t="inlineStr">
        <is>
          <t>site</t>
        </is>
      </c>
      <c r="F14" s="67" t="n"/>
      <c r="G14" s="69">
        <f>D14*F14</f>
        <v/>
      </c>
      <c r="H14" s="69">
        <f>G14*1000</f>
        <v/>
      </c>
      <c r="I14" s="69">
        <f>G14*5000</f>
        <v/>
      </c>
      <c r="J14" s="57" t="inlineStr">
        <is>
          <t>Dedicated physical deployment service</t>
        </is>
      </c>
    </row>
    <row r="15">
      <c r="A15" s="49" t="inlineStr">
        <is>
          <t>RAN-SVC-05</t>
        </is>
      </c>
      <c r="B15" s="50" t="inlineStr">
        <is>
          <t>Regional Transport &amp; Final-Mile Site Hauling</t>
        </is>
      </c>
      <c r="C15" s="51" t="inlineStr">
        <is>
          <t>Hauling from central warehouse to regional hubs, 4x4 rough-road delivery to barangay site</t>
        </is>
      </c>
      <c r="D15" s="49" t="n">
        <v>1</v>
      </c>
      <c r="E15" s="49" t="inlineStr">
        <is>
          <t>site</t>
        </is>
      </c>
      <c r="F15" s="67" t="n"/>
      <c r="G15" s="68">
        <f>D15*F15</f>
        <v/>
      </c>
      <c r="H15" s="68">
        <f>G15*1000</f>
        <v/>
      </c>
      <c r="I15" s="68">
        <f>G15*5000</f>
        <v/>
      </c>
      <c r="J15" s="50" t="inlineStr">
        <is>
          <t>Dedicated physical deployment service</t>
        </is>
      </c>
    </row>
    <row r="16">
      <c r="A16" s="62" t="inlineStr">
        <is>
          <t>SUBTOTAL-SVC</t>
        </is>
      </c>
      <c r="B16" s="63" t="inlineStr">
        <is>
          <t>Subtotal Turnkey Rollout Services</t>
        </is>
      </c>
      <c r="C16" s="63" t="inlineStr">
        <is>
          <t>Total Dedicated RAN Rollout &amp; Commissioning Services per Site</t>
        </is>
      </c>
      <c r="D16" s="62" t="n">
        <v>1</v>
      </c>
      <c r="E16" s="62" t="inlineStr">
        <is>
          <t>site</t>
        </is>
      </c>
      <c r="F16" s="63" t="n"/>
      <c r="G16" s="70">
        <f>SUM(G11:G15)</f>
        <v/>
      </c>
      <c r="H16" s="70">
        <f>SUM(H11:H15)</f>
        <v/>
      </c>
      <c r="I16" s="70">
        <f>SUM(I11:I15)</f>
        <v/>
      </c>
      <c r="J16" s="63" t="inlineStr">
        <is>
          <t>Subtotal Turnkey Services</t>
        </is>
      </c>
    </row>
    <row r="17">
      <c r="A17" s="62" t="inlineStr">
        <is>
          <t>TOTAL-LOT1</t>
        </is>
      </c>
      <c r="B17" s="63" t="inlineStr">
        <is>
          <t>TOTAL TURNKEY RAN CAPEX PER SITE</t>
        </is>
      </c>
      <c r="C17" s="63" t="inlineStr">
        <is>
          <t>Combined BTS Hardware + Turnkey Rollout Services per Site</t>
        </is>
      </c>
      <c r="D17" s="62" t="n">
        <v>1</v>
      </c>
      <c r="E17" s="62" t="inlineStr">
        <is>
          <t>site</t>
        </is>
      </c>
      <c r="F17" s="63" t="n"/>
      <c r="G17" s="70">
        <f>G10+G16</f>
        <v/>
      </c>
      <c r="H17" s="70">
        <f>H10+H16</f>
        <v/>
      </c>
      <c r="I17" s="70">
        <f>I10+I16</f>
        <v/>
      </c>
      <c r="J17" s="63" t="inlineStr">
        <is>
          <t>Evaluated Lot 1 Total</t>
        </is>
      </c>
    </row>
    <row r="18">
      <c r="A18" s="71" t="inlineStr">
        <is>
          <t>*(Note: Detailed Site Surveys (TSSR), Greenfield Tower Permitting, RF Propagation Modeling, and Multi-Site Cluster RF Optimization are consolidated and evaluated under Lot 5 to eliminate scope duplication. Lot 1 Turnkey Services cover dedicated RAN hardware deployment, I&amp;C, SSV, warehousing, and hauling)*</t>
        </is>
      </c>
      <c r="B18" s="72" t="n"/>
      <c r="C18" s="72" t="n"/>
      <c r="D18" s="72" t="n"/>
      <c r="E18" s="72" t="n"/>
      <c r="F18" s="72" t="n"/>
      <c r="G18" s="72" t="n"/>
      <c r="H18" s="72" t="n"/>
      <c r="I18" s="72" t="n"/>
      <c r="J18" s="73" t="n"/>
    </row>
  </sheetData>
  <mergeCells count="1">
    <mergeCell ref="A18:J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48" customWidth="1" min="3" max="3"/>
    <col width="22" customWidth="1" min="4" max="4"/>
    <col width="10" customWidth="1" min="5" max="5"/>
    <col width="14" customWidth="1" min="6" max="6"/>
    <col width="22" customWidth="1" min="7" max="7"/>
    <col width="20" customWidth="1" min="8" max="8"/>
    <col width="24" customWidth="1" min="9" max="9"/>
    <col width="24" customWidth="1" min="10" max="10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Unit Rates in Column G (USD)</t>
        </is>
      </c>
    </row>
    <row r="4">
      <c r="A4" s="19" t="inlineStr">
        <is>
          <t>Item Code</t>
        </is>
      </c>
      <c r="B4" s="20" t="inlineStr">
        <is>
          <t>Equipment Description</t>
        </is>
      </c>
      <c r="C4" s="20" t="inlineStr">
        <is>
          <t>Technical Specification</t>
        </is>
      </c>
      <c r="D4" s="20" t="inlineStr">
        <is>
          <t>Application</t>
        </is>
      </c>
      <c r="E4" s="19" t="inlineStr">
        <is>
          <t>UoM</t>
        </is>
      </c>
      <c r="F4" s="19" t="inlineStr">
        <is>
          <t>Phase 1 Qty</t>
        </is>
      </c>
      <c r="G4" s="21" t="inlineStr">
        <is>
          <t>Unit Rate (USD) [Bidder Input]</t>
        </is>
      </c>
      <c r="H4" s="21" t="inlineStr">
        <is>
          <t>Unit Rate (PHP @ 55)</t>
        </is>
      </c>
      <c r="I4" s="21" t="inlineStr">
        <is>
          <t>Phase 1 Total (USD)</t>
        </is>
      </c>
      <c r="J4" s="20" t="inlineStr">
        <is>
          <t>Remarks / Bidder Model</t>
        </is>
      </c>
    </row>
    <row r="5">
      <c r="A5" s="22" t="inlineStr">
        <is>
          <t>PWR-01</t>
        </is>
      </c>
      <c r="B5" s="23" t="inlineStr">
        <is>
          <t>12.0 kW Total Installed / 9.0 kW Firm N+1 DC Rectifier Plant</t>
        </is>
      </c>
      <c r="C5" s="23" t="inlineStr">
        <is>
          <t>19" 3U subrack, 4x 3.0 kW modules (3 active + 1 redundant standby N+1), SMPS controller, 96% eff</t>
        </is>
      </c>
      <c r="D5" s="23" t="inlineStr">
        <is>
          <t>Co-loc &amp; Greenfield</t>
        </is>
      </c>
      <c r="E5" s="22" t="inlineStr">
        <is>
          <t>set</t>
        </is>
      </c>
      <c r="F5" s="31" t="n">
        <v>1000</v>
      </c>
      <c r="G5" s="24" t="n"/>
      <c r="H5" s="25">
        <f>G5*55</f>
        <v/>
      </c>
      <c r="I5" s="32">
        <f>F5*G5</f>
        <v/>
      </c>
      <c r="J5" s="23" t="n"/>
    </row>
    <row r="6">
      <c r="A6" s="22" t="inlineStr">
        <is>
          <t>PWR-02</t>
        </is>
      </c>
      <c r="B6" s="23" t="inlineStr">
        <is>
          <t>48V LiFePO4 Battery Bank (&gt;=20.0 kWh nominal)</t>
        </is>
      </c>
      <c r="C6" s="23" t="inlineStr">
        <is>
          <t>Sized for &gt;= 12.0 kWh usable energy over 4.0h @ 3.0 kW load, &lt;=80% DoD, 80% SoH retention (minimum &gt;= 20.0 kWh nominal installed bank capacity is controlling; 400 Ah to 450 Ah is indicative, loss-based calculation)</t>
        </is>
      </c>
      <c r="D6" s="23" t="inlineStr">
        <is>
          <t>Co-loc &amp; Greenfield</t>
        </is>
      </c>
      <c r="E6" s="22" t="inlineStr">
        <is>
          <t>set</t>
        </is>
      </c>
      <c r="F6" s="31" t="n">
        <v>1000</v>
      </c>
      <c r="G6" s="24" t="n"/>
      <c r="H6" s="25">
        <f>G6*55</f>
        <v/>
      </c>
      <c r="I6" s="32">
        <f>F6*G6</f>
        <v/>
      </c>
      <c r="J6" s="23" t="n"/>
    </row>
    <row r="7">
      <c r="A7" s="22" t="inlineStr">
        <is>
          <t>PWR-03</t>
        </is>
      </c>
      <c r="B7" s="23" t="inlineStr">
        <is>
          <t>TowerCo DC Tap-Off Box &amp; Submeter</t>
        </is>
      </c>
      <c r="C7" s="23" t="inlineStr">
        <is>
          <t>Enclosure, Class 1.0 revenue kWh meter, RS485 telemetry, SPD Type 2</t>
        </is>
      </c>
      <c r="D7" s="23" t="inlineStr">
        <is>
          <t>Leased TowerCo Sites</t>
        </is>
      </c>
      <c r="E7" s="22" t="inlineStr">
        <is>
          <t>set</t>
        </is>
      </c>
      <c r="F7" s="31" t="n">
        <v>897</v>
      </c>
      <c r="G7" s="24" t="n"/>
      <c r="H7" s="25">
        <f>G7*55</f>
        <v/>
      </c>
      <c r="I7" s="32">
        <f>F7*G7</f>
        <v/>
      </c>
      <c r="J7" s="23" t="n"/>
    </row>
    <row r="8">
      <c r="A8" s="22" t="inlineStr">
        <is>
          <t>PWR-04</t>
        </is>
      </c>
      <c r="B8" s="23" t="inlineStr">
        <is>
          <t>15 kVA Soundproof Standby Genset</t>
        </is>
      </c>
      <c r="C8" s="23" t="inlineStr">
        <is>
          <t>Diesel, 230V 60Hz, 500L-1000L sub-base tank, ATS auto-transfer, &lt;68dBA</t>
        </is>
      </c>
      <c r="D8" s="23" t="inlineStr">
        <is>
          <t>Greenfield Sites (Class T4)</t>
        </is>
      </c>
      <c r="E8" s="22" t="inlineStr">
        <is>
          <t>set</t>
        </is>
      </c>
      <c r="F8" s="31" t="n">
        <v>103</v>
      </c>
      <c r="G8" s="24" t="n"/>
      <c r="H8" s="25">
        <f>G8*55</f>
        <v/>
      </c>
      <c r="I8" s="32">
        <f>F8*G8</f>
        <v/>
      </c>
      <c r="J8" s="23" t="n"/>
    </row>
    <row r="9">
      <c r="A9" s="26" t="inlineStr">
        <is>
          <t>TOTAL-LOT2</t>
        </is>
      </c>
      <c r="B9" s="27" t="inlineStr">
        <is>
          <t>TOTAL POWER SYSTEMS &amp; ELECTRICAL INFRASTRUCTURE</t>
        </is>
      </c>
      <c r="C9" s="27" t="inlineStr">
        <is>
          <t>Total Phase 1 Capital Expenditure for Lot 2 Power Systems (Towers, compounds, and grounding are evaluated in Lot 5)</t>
        </is>
      </c>
      <c r="D9" s="27" t="inlineStr">
        <is>
          <t>1,000 Sites Footprint</t>
        </is>
      </c>
      <c r="E9" s="26" t="inlineStr">
        <is>
          <t>lot</t>
        </is>
      </c>
      <c r="F9" s="26" t="n">
        <v>1000</v>
      </c>
      <c r="G9" s="33" t="n"/>
      <c r="H9" s="33" t="n"/>
      <c r="I9" s="28">
        <f>SUM(I5:I8)</f>
        <v/>
      </c>
      <c r="J9" s="27" t="inlineStr">
        <is>
          <t>Evaluated Lot 2 Total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50" customWidth="1" min="3" max="3"/>
    <col width="28" customWidth="1" min="4" max="4"/>
    <col width="10" customWidth="1" min="5" max="5"/>
    <col width="14" customWidth="1" min="6" max="6"/>
    <col width="24" customWidth="1" min="7" max="7"/>
    <col width="20" customWidth="1" min="8" max="8"/>
    <col width="22" customWidth="1" min="9" max="9"/>
    <col width="28" customWidth="1" min="10" max="10"/>
  </cols>
  <sheetData>
    <row r="1">
      <c r="A1" s="1" t="inlineStr">
        <is>
          <t>LOT 5: SITE ACQUISITION, DETAILED SITE SURVEY (TSSR), RF DESIGN &amp; CIVIL WORKS</t>
        </is>
      </c>
    </row>
    <row r="2">
      <c r="A2" s="18" t="inlineStr">
        <is>
          <t>Official Bidding Bill of Quantities — Enter Quoted Unit Rates in Column G (USD)</t>
        </is>
      </c>
    </row>
    <row r="4">
      <c r="A4" s="48" t="inlineStr">
        <is>
          <t>Item Code</t>
        </is>
      </c>
      <c r="B4" s="48" t="inlineStr">
        <is>
          <t>Service / Works Description</t>
        </is>
      </c>
      <c r="C4" s="48" t="inlineStr">
        <is>
          <t>Detailed Scope &amp; Technical Specification</t>
        </is>
      </c>
      <c r="D4" s="48" t="inlineStr">
        <is>
          <t>Site Class Application</t>
        </is>
      </c>
      <c r="E4" s="48" t="inlineStr">
        <is>
          <t>UoM</t>
        </is>
      </c>
      <c r="F4" s="48" t="inlineStr">
        <is>
          <t>Phase 1 Qty</t>
        </is>
      </c>
      <c r="G4" s="48" t="inlineStr">
        <is>
          <t>Unit Rate (USD) [Bidder Input]</t>
        </is>
      </c>
      <c r="H4" s="48" t="inlineStr">
        <is>
          <t>Unit Rate (PHP @ 55)</t>
        </is>
      </c>
      <c r="I4" s="4" t="inlineStr">
        <is>
          <t>Phase 1 Total (USD)</t>
        </is>
      </c>
      <c r="J4" s="4" t="inlineStr">
        <is>
          <t>Remarks / Bidder Methodology</t>
        </is>
      </c>
    </row>
    <row r="5">
      <c r="A5" s="49" t="inlineStr">
        <is>
          <t>CIV-SVC-01</t>
        </is>
      </c>
      <c r="B5" s="50" t="inlineStr">
        <is>
          <t>Detailed Site Survey Report (TSSR)</t>
        </is>
      </c>
      <c r="C5" s="51" t="inlineStr">
        <is>
          <t>Tower structural load audit, 360-degree drone photo sweep, power/grounding audit, civil layout sketch, and PE endorsement.</t>
        </is>
      </c>
      <c r="D5" s="49" t="inlineStr">
        <is>
          <t>All Sites (Co-loc &amp; Greenfield)</t>
        </is>
      </c>
      <c r="E5" s="49" t="inlineStr">
        <is>
          <t>site</t>
        </is>
      </c>
      <c r="F5" s="52" t="n">
        <v>1000</v>
      </c>
      <c r="G5" s="53" t="n"/>
      <c r="H5" s="54">
        <f>G5*55</f>
        <v/>
      </c>
      <c r="I5" s="55">
        <f>F5*G5</f>
        <v/>
      </c>
      <c r="J5" s="50" t="inlineStr">
        <is>
          <t>Comprehensive TSSR</t>
        </is>
      </c>
    </row>
    <row r="6">
      <c r="A6" s="56" t="inlineStr">
        <is>
          <t>CIV-SVC-02</t>
        </is>
      </c>
      <c r="B6" s="57" t="inlineStr">
        <is>
          <t>Site Acquisition &amp; Permitting Support</t>
        </is>
      </c>
      <c r="C6" s="58" t="inlineStr">
        <is>
          <t>LGU building permit processing, Barangay clearance, CAAP height clearance, and environmental compliance documentation.</t>
        </is>
      </c>
      <c r="D6" s="56" t="inlineStr">
        <is>
          <t>Greenfield Sites</t>
        </is>
      </c>
      <c r="E6" s="56" t="inlineStr">
        <is>
          <t>site</t>
        </is>
      </c>
      <c r="F6" s="59" t="n">
        <v>103</v>
      </c>
      <c r="G6" s="53" t="n"/>
      <c r="H6" s="60">
        <f>G6*55</f>
        <v/>
      </c>
      <c r="I6" s="61">
        <f>F6*G6</f>
        <v/>
      </c>
      <c r="J6" s="57" t="inlineStr">
        <is>
          <t>Full permit clearance</t>
        </is>
      </c>
    </row>
    <row r="7">
      <c r="A7" s="49" t="inlineStr">
        <is>
          <t>CIV-SVC-03</t>
        </is>
      </c>
      <c r="B7" s="50" t="inlineStr">
        <is>
          <t>Equipment Pad Foundation &amp; Cable Gantry</t>
        </is>
      </c>
      <c r="C7" s="51" t="inlineStr">
        <is>
          <t>Reinforced concrete plinth for outdoor DC power cabinet/battery, elevated cable tray/gantry, and AC interconnect point.</t>
        </is>
      </c>
      <c r="D7" s="49" t="inlineStr">
        <is>
          <t>Leased TowerCo Sites</t>
        </is>
      </c>
      <c r="E7" s="49" t="inlineStr">
        <is>
          <t>site</t>
        </is>
      </c>
      <c r="F7" s="52" t="n">
        <v>897</v>
      </c>
      <c r="G7" s="53" t="n"/>
      <c r="H7" s="54">
        <f>G7*55</f>
        <v/>
      </c>
      <c r="I7" s="55">
        <f>F7*G7</f>
        <v/>
      </c>
      <c r="J7" s="50" t="inlineStr">
        <is>
          <t>Co-location upgrade</t>
        </is>
      </c>
    </row>
    <row r="8">
      <c r="A8" s="56" t="inlineStr">
        <is>
          <t>CIV-SVC-04</t>
        </is>
      </c>
      <c r="B8" s="57" t="inlineStr">
        <is>
          <t>Greenfield Compound Civil Works &amp; Foundation</t>
        </is>
      </c>
      <c r="C8" s="58" t="inlineStr">
        <is>
          <t>8m x 8m compound grading, perimeter chain-link security fence, crushed gravel bedding, and reinforced foundation slab.</t>
        </is>
      </c>
      <c r="D8" s="56" t="inlineStr">
        <is>
          <t>Greenfield Sites (Class T4)</t>
        </is>
      </c>
      <c r="E8" s="56" t="inlineStr">
        <is>
          <t>site</t>
        </is>
      </c>
      <c r="F8" s="59" t="n">
        <v>103</v>
      </c>
      <c r="G8" s="53" t="n"/>
      <c r="H8" s="60">
        <f>G8*55</f>
        <v/>
      </c>
      <c r="I8" s="61">
        <f>F8*G8</f>
        <v/>
      </c>
      <c r="J8" s="57" t="inlineStr">
        <is>
          <t>Civil compound construction</t>
        </is>
      </c>
    </row>
    <row r="9">
      <c r="A9" s="49" t="inlineStr">
        <is>
          <t>CIV-SVC-05</t>
        </is>
      </c>
      <c r="B9" s="50" t="inlineStr">
        <is>
          <t>Grounding Grid &amp; Lightning Protection System</t>
        </is>
      </c>
      <c r="C9" s="51" t="inlineStr">
        <is>
          <t>Exothermically welded copper ground ring (Cadweld), ground rods, copper busbar, and air terminal (&lt;= 5.0 Ohms).</t>
        </is>
      </c>
      <c r="D9" s="49" t="inlineStr">
        <is>
          <t>Greenfield Sites (Class T4)</t>
        </is>
      </c>
      <c r="E9" s="49" t="inlineStr">
        <is>
          <t>site</t>
        </is>
      </c>
      <c r="F9" s="52" t="n">
        <v>103</v>
      </c>
      <c r="G9" s="53" t="n"/>
      <c r="H9" s="54">
        <f>G9*55</f>
        <v/>
      </c>
      <c r="I9" s="55">
        <f>F9*G9</f>
        <v/>
      </c>
      <c r="J9" s="50" t="inlineStr">
        <is>
          <t>Dedicated earth ground ring</t>
        </is>
      </c>
    </row>
    <row r="10">
      <c r="A10" s="56" t="inlineStr">
        <is>
          <t>CIV-SVC-06</t>
        </is>
      </c>
      <c r="B10" s="57" t="inlineStr">
        <is>
          <t>30m Galvanized Steel Monopole Tower</t>
        </is>
      </c>
      <c r="C10" s="58" t="inlineStr">
        <is>
          <t>ASTM A572 steel monopole, 250 km/h Category 5 wind rating, climbing ladder with fall arrest, rigging, erection, and certification.</t>
        </is>
      </c>
      <c r="D10" s="56" t="inlineStr">
        <is>
          <t>Greenfield Standard Height (Alternative A)</t>
        </is>
      </c>
      <c r="E10" s="56" t="inlineStr">
        <is>
          <t>site</t>
        </is>
      </c>
      <c r="F10" s="59" t="n">
        <v>80</v>
      </c>
      <c r="G10" s="53" t="n"/>
      <c r="H10" s="60">
        <f>G10*55</f>
        <v/>
      </c>
      <c r="I10" s="61">
        <f>F10*G10</f>
        <v/>
      </c>
      <c r="J10" s="57" t="inlineStr">
        <is>
          <t>80 sites standard (mutually exclusive with 40m)</t>
        </is>
      </c>
    </row>
    <row r="11">
      <c r="A11" s="49" t="inlineStr">
        <is>
          <t>CIV-SVC-07</t>
        </is>
      </c>
      <c r="B11" s="50" t="inlineStr">
        <is>
          <t>40m Galvanized Steel Monopole Tower</t>
        </is>
      </c>
      <c r="C11" s="51" t="inlineStr">
        <is>
          <t>ASTM A572 steel monopole, 250 km/h Category 5 wind rating, fall arrest, rigging, erection, and structural PE certification.</t>
        </is>
      </c>
      <c r="D11" s="49" t="inlineStr">
        <is>
          <t>Greenfield High-Clearance (Alternative B)</t>
        </is>
      </c>
      <c r="E11" s="49" t="inlineStr">
        <is>
          <t>site</t>
        </is>
      </c>
      <c r="F11" s="52" t="n">
        <v>23</v>
      </c>
      <c r="G11" s="53" t="n"/>
      <c r="H11" s="54">
        <f>G11*55</f>
        <v/>
      </c>
      <c r="I11" s="55">
        <f>F11*G11</f>
        <v/>
      </c>
      <c r="J11" s="50" t="inlineStr">
        <is>
          <t>23 sites terrain/canopy (mutually exclusive with 30m)</t>
        </is>
      </c>
    </row>
    <row r="12">
      <c r="A12" s="56" t="inlineStr">
        <is>
          <t>CIV-SVC-08</t>
        </is>
      </c>
      <c r="B12" s="57" t="inlineStr">
        <is>
          <t>RF Propagation Modeling &amp; Siting Optimization</t>
        </is>
      </c>
      <c r="C12" s="58" t="inlineStr">
        <is>
          <t>High-resolution 3D ray-tracing simulation, local clutter calibration, candidate search ring generation, and nominal design.</t>
        </is>
      </c>
      <c r="D12" s="56" t="inlineStr">
        <is>
          <t>Macro Network Footprint</t>
        </is>
      </c>
      <c r="E12" s="56" t="inlineStr">
        <is>
          <t>site</t>
        </is>
      </c>
      <c r="F12" s="59" t="n">
        <v>1000</v>
      </c>
      <c r="G12" s="53" t="n"/>
      <c r="H12" s="60">
        <f>G12*55</f>
        <v/>
      </c>
      <c r="I12" s="61">
        <f>F12*G12</f>
        <v/>
      </c>
      <c r="J12" s="57" t="inlineStr">
        <is>
          <t>RF planning &amp; candidate search rings</t>
        </is>
      </c>
    </row>
    <row r="13">
      <c r="A13" s="49" t="inlineStr">
        <is>
          <t>CIV-SVC-09</t>
        </is>
      </c>
      <c r="B13" s="50" t="inlineStr">
        <is>
          <t>Cluster RF Optimization &amp; Drive Testing Services</t>
        </is>
      </c>
      <c r="C13" s="51" t="inlineStr">
        <is>
          <t>Multi-site cluster drive testing, antenna tilt/azimuth physical optimization, pilot pollution removal, and handover tuning.</t>
        </is>
      </c>
      <c r="D13" s="49" t="inlineStr">
        <is>
          <t>Multi-Site Clusters (per site share)</t>
        </is>
      </c>
      <c r="E13" s="49" t="inlineStr">
        <is>
          <t>site</t>
        </is>
      </c>
      <c r="F13" s="52" t="n">
        <v>1000</v>
      </c>
      <c r="G13" s="53" t="n"/>
      <c r="H13" s="54">
        <f>G13*55</f>
        <v/>
      </c>
      <c r="I13" s="55">
        <f>F13*G13</f>
        <v/>
      </c>
      <c r="J13" s="50" t="inlineStr">
        <is>
          <t>Cluster drive testing &amp; tuning</t>
        </is>
      </c>
    </row>
    <row r="14">
      <c r="A14" s="62" t="inlineStr">
        <is>
          <t>TOTAL-LOT5</t>
        </is>
      </c>
      <c r="B14" s="63" t="inlineStr">
        <is>
          <t>TOTAL PHASE 1 CIVIL &amp; SITING WORKS (USD)</t>
        </is>
      </c>
      <c r="C14" s="63" t="inlineStr">
        <is>
          <t>Evaluated Turnkey Site Acquisition, Survey, Towers &amp; Civil Infrastructure</t>
        </is>
      </c>
      <c r="D14" s="62" t="inlineStr">
        <is>
          <t>1,000 Sites Footprint (897 Co-loc + 103 Greenfield)</t>
        </is>
      </c>
      <c r="E14" s="62" t="inlineStr">
        <is>
          <t>lot</t>
        </is>
      </c>
      <c r="F14" s="64" t="n">
        <v>1000</v>
      </c>
      <c r="G14" s="65" t="n"/>
      <c r="H14" s="65" t="n"/>
      <c r="I14" s="65">
        <f>SUM(I5:I13)</f>
        <v/>
      </c>
      <c r="J14" s="63" t="inlineStr">
        <is>
          <t>Phase 1 Evaluated Total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Target (99.70% Min SLA)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50" customWidth="1" min="3" max="3"/>
    <col width="16" customWidth="1" min="4" max="4"/>
    <col width="14" customWidth="1" min="5" max="5"/>
    <col width="14" customWidth="1" min="6" max="6"/>
    <col width="22" customWidth="1" min="7" max="7"/>
    <col width="22" customWidth="1" min="8" max="8"/>
    <col width="22" customWidth="1" min="9" max="9"/>
    <col width="22" customWidth="1" min="10" max="10"/>
    <col width="30" customWidth="1" min="11" max="11"/>
    <col width="30" customWidth="1" min="12" max="12"/>
  </cols>
  <sheetData>
    <row r="1">
      <c r="A1" s="74" t="inlineStr">
        <is>
          <t>5G FWA PROGRAM — MASTER SERVICES SOW &amp; COMMERCIAL RATE CARD</t>
        </is>
      </c>
    </row>
    <row r="2">
      <c r="A2" s="75" t="inlineStr">
        <is>
          <t>Tender Ref: RFP-TELTECH-FWA-2026-001 | Operator: TelTech / Converge ICT | Baseline FX: 1 USD = 55.00 PHP | Author: Oliver Tungol</t>
        </is>
      </c>
    </row>
    <row r="3">
      <c r="A3" s="76" t="inlineStr">
        <is>
          <t>Instructions: Bidders must enter firm unit rates in USD in Column G (yellow). NOTICE: Operational baseline is TowerCo-acquired (Co-location / Build-to-Suit) where TowerCo executes hunting/permitting under MLA, Vendor provides technical vetting/TSSR endorsement, and Operator issues final approval. Category 1 rates (SAQ-01 to SAQ-08) serve strictly as a Standby / Contingency Call-Off Rate Card for Operator Self-Acquisition / Own-Build (Tier 3). Bidders shall NOT embed SAQ risk markups into baseline turnkey pricing.</t>
        </is>
      </c>
    </row>
    <row r="5" ht="28" customHeight="1">
      <c r="A5" s="77" t="inlineStr">
        <is>
          <t>Item Ref</t>
        </is>
      </c>
      <c r="B5" s="77" t="inlineStr">
        <is>
          <t>Service Title</t>
        </is>
      </c>
      <c r="C5" s="77" t="inlineStr">
        <is>
          <t>Detailed Technical Scope &amp; Boundaries</t>
        </is>
      </c>
      <c r="D5" s="77" t="inlineStr">
        <is>
          <t>UoM</t>
        </is>
      </c>
      <c r="E5" s="77" t="inlineStr">
        <is>
          <t>Phase 1 Qty</t>
        </is>
      </c>
      <c r="F5" s="77" t="inlineStr">
        <is>
          <t>Program Qty</t>
        </is>
      </c>
      <c r="G5" s="77" t="inlineStr">
        <is>
          <t>Unit Rate (USD) [Bidder Input]</t>
        </is>
      </c>
      <c r="H5" s="77" t="inlineStr">
        <is>
          <t>Unit Rate (PHP @ 55)</t>
        </is>
      </c>
      <c r="I5" s="77" t="inlineStr">
        <is>
          <t>Phase 1 Total (USD)</t>
        </is>
      </c>
      <c r="J5" s="77" t="inlineStr">
        <is>
          <t>Program Total (USD)</t>
        </is>
      </c>
      <c r="K5" s="77" t="inlineStr">
        <is>
          <t>Billing Milestone Trigger</t>
        </is>
      </c>
      <c r="L5" s="77" t="inlineStr">
        <is>
          <t>Deliverable Artifact</t>
        </is>
      </c>
    </row>
    <row r="6" ht="22" customHeight="1">
      <c r="A6" s="78" t="inlineStr">
        <is>
          <t>DOMAIN: SITE ACQUISITION &amp; LEGAL PERMITTING (STANDBY / CONTINGENCY CALL-OFF RATE CARD — OPERATOR SELF-ACQUISITION OPTION)</t>
        </is>
      </c>
      <c r="B6" s="79" t="n"/>
      <c r="C6" s="79" t="n"/>
      <c r="D6" s="79" t="n"/>
      <c r="E6" s="79" t="n"/>
      <c r="F6" s="79" t="n"/>
      <c r="G6" s="79" t="n"/>
      <c r="H6" s="79" t="n"/>
      <c r="I6" s="79" t="n"/>
      <c r="J6" s="79" t="n"/>
      <c r="K6" s="79" t="n"/>
      <c r="L6" s="79" t="n"/>
    </row>
    <row r="7" ht="45" customHeight="1">
      <c r="A7" s="80" t="inlineStr">
        <is>
          <t>SAQ-01</t>
        </is>
      </c>
      <c r="B7" s="81" t="inlineStr">
        <is>
          <t>Nominal Search Ring Siting &amp; Candidate Hunting</t>
        </is>
      </c>
      <c r="C7" s="81" t="inlineStr">
        <is>
          <t>[OPERATIONAL BASELINE: Siting and candidate hunting is executed by the TowerCo. Vendor performs on-site technical vetting (RF LOS, antenna height, structural feasibility) and issues joint endorsement; Operator issues final approval. COMMERCIAL PRICING BASIS: Quoted rate serves strictly as a Standby / Contingency Call-Off Rate Card for Operator Self-Acquisition / Own-Build]. Field identification, screening, and ranking of three (3) viable candidates (Candidate A - Primary, Candidate B - Secondary, Candidate C - Contingency) within the assigned nominal search ring (500m radius for urban/suburban; 1,000m radius for rural). Mandatory spatial screening against audited TowerCo database (13,746 towers) to prioritize Tier 1 co-location. Scope includes visual inspection of antenna mounting feasibility, ground space availability (minimum 2.0m x 2.0m pad), line-of-sight to demand settlement centroid, road access verification (all-weather vs 4x4), and issuance of the Preliminary Candidate Evaluation Report (PCER).
• Inclusions: Desktop spatial analysis, physical on-ground hunting, 3 candidate identification, GPS logging, PCER compilation.
• Exclusions: Commercial lease execution (handled by Operator under MLA).</t>
        </is>
      </c>
      <c r="D7" s="80" t="inlineStr">
        <is>
          <t>Per Search Ring</t>
        </is>
      </c>
      <c r="E7" s="82" t="n">
        <v>1000</v>
      </c>
      <c r="F7" s="82" t="n">
        <v>5000</v>
      </c>
      <c r="G7" s="83" t="n"/>
      <c r="H7" s="84">
        <f>G7*55</f>
        <v/>
      </c>
      <c r="I7" s="85">
        <f>E7*G7</f>
        <v/>
      </c>
      <c r="J7" s="85">
        <f>F7*G7</f>
        <v/>
      </c>
      <c r="K7" s="81" t="inlineStr">
        <is>
          <t>100% upon Operator formal approval of PCER ranking 3 compliant candidates.</t>
        </is>
      </c>
      <c r="L7" s="81" t="inlineStr">
        <is>
          <t>Approved Preliminary Candidate Evaluation Report (PCER)</t>
        </is>
      </c>
    </row>
    <row r="8" ht="45" customHeight="1">
      <c r="A8" s="80" t="inlineStr">
        <is>
          <t>SAQ-02</t>
        </is>
      </c>
      <c r="B8" s="81" t="inlineStr">
        <is>
          <t>Detailed Site Acquisition Report (SAR) &amp; Technical Dossier</t>
        </is>
      </c>
      <c r="C8" s="81" t="inlineStr">
        <is>
          <t>[OPERATIONAL BASELINE: TowerCo provides primary site attributes and property profile under MLA. Vendor reviews and compiles technical feasibility annex in TSSR; Operator signs off. COMMERCIAL PRICING BASIS: Standby / Contingency Call-Off Rate Card for full standalone SAR compilation during Operator Self-Acquisition]. Comprehensive on-ground site acquisition audit and property investigation for the selected primary candidate. Compilation of standardized Site Acquisition Report (SAR) containing: official PSGC code, precision WGS84 GPS coordinates (&gt;= 6 decimal places), ground elevation AMSL, property cadastral boundary sketch, certified land title verification (TCT/OCT/Tax Declaration), lessor profile and contact matrix, preliminary structural condition assessment, preliminary power availability (grid connection point, transformer distance, utility provider), 360-degree panoramic site photos, logistics route access classification, and SAQ risk assessment matrix.
• Inclusions: On-ground cadastral audit, title verification, lessor interview, 360-deg photo sweep, complete SAR package.
• Exclusions: Payment of land rental / lease deposits (direct Operator responsibility).</t>
        </is>
      </c>
      <c r="D8" s="80" t="inlineStr">
        <is>
          <t>Per Candidate Site</t>
        </is>
      </c>
      <c r="E8" s="82" t="n">
        <v>1000</v>
      </c>
      <c r="F8" s="82" t="n">
        <v>5000</v>
      </c>
      <c r="G8" s="83" t="n"/>
      <c r="H8" s="84">
        <f>G8*55</f>
        <v/>
      </c>
      <c r="I8" s="85">
        <f>E8*G8</f>
        <v/>
      </c>
      <c r="J8" s="85">
        <f>F8*G8</f>
        <v/>
      </c>
      <c r="K8" s="81" t="inlineStr">
        <is>
          <t>100% upon formal engineering and legal acceptance of the SAR package by Operator.</t>
        </is>
      </c>
      <c r="L8" s="81" t="inlineStr">
        <is>
          <t>Comprehensive Site Acquisition Report (SAR) Dossier</t>
        </is>
      </c>
    </row>
    <row r="9" ht="45" customHeight="1">
      <c r="A9" s="80" t="inlineStr">
        <is>
          <t>SAQ-03</t>
        </is>
      </c>
      <c r="B9" s="81" t="inlineStr">
        <is>
          <t>TowerCo Space Application (SAA) &amp; Technical Dossier Support</t>
        </is>
      </c>
      <c r="C9" s="81" t="inlineStr">
        <is>
          <t>[APPLIES TO TOWERCO CO-LOCATION: Preparation of technical equipment loading profile (3x 8T8R RRU, 3x Antennas, hybrid cables, 2m x 2m pad) and coordination with TowerCo engineering until SAA approval. Commercial lease executed directly by Operator under MLA]. Preparation, technical compilation, submission, and engineering follow-through of the TowerCo Space Application (SAA) package for co-location under Operator's Master Lease Agreement (MLA). Compiles exact proposed loading profile: 3x 8T8R RRU, 3x macro antennas/AAUs, antenna mounting brackets (AMB), hybrid trunk cables, DC distribution requirements, and ground plinth reservation (2.0m x 2.0m). Coordinates with TowerCo technical team during structural vetting until formal issuance of SAA Approval and Notice to Proceed (NTP).
• Inclusions: SAA documentation, loading calculation submission, liaison with TowerCo engineering, tracking SAA to NTP.
• Exclusions: Commercial MLA negotiations and monthly tower rental fees (exclusive Operator responsibility).</t>
        </is>
      </c>
      <c r="D9" s="80" t="inlineStr">
        <is>
          <t>Per Co-Location Site</t>
        </is>
      </c>
      <c r="E9" s="82" t="n">
        <v>897</v>
      </c>
      <c r="F9" s="82" t="n">
        <v>4517</v>
      </c>
      <c r="G9" s="83" t="n"/>
      <c r="H9" s="84">
        <f>G9*55</f>
        <v/>
      </c>
      <c r="I9" s="85">
        <f>E9*G9</f>
        <v/>
      </c>
      <c r="J9" s="85">
        <f>F9*G9</f>
        <v/>
      </c>
      <c r="K9" s="81" t="inlineStr">
        <is>
          <t>50% upon SAA submission; 50% upon TowerCo issuance of formal SAA Approval / NTP.</t>
        </is>
      </c>
      <c r="L9" s="81" t="inlineStr">
        <is>
          <t>Approved TowerCo SAA &amp; Official Notice to Proceed (NTP)</t>
        </is>
      </c>
    </row>
    <row r="10" ht="45" customHeight="1">
      <c r="A10" s="80" t="inlineStr">
        <is>
          <t>SAQ-04</t>
        </is>
      </c>
      <c r="B10" s="81" t="inlineStr">
        <is>
          <t>Greenfield Land Lease Negotiation &amp; Notarized Contract Support</t>
        </is>
      </c>
      <c r="C10" s="81" t="inlineStr">
        <is>
          <t>[CONTINGENCY / SELF-BUILD SCOPE: Applicable strictly to Operator Own-Build Greenfield sites where no TowerCo exists or TowerCo denies build. Direct lessor negotiation, title due diligence, and lease notarization]. Direct lessor negotiations for greenfield sites: boundary survey coordination, verification of registered ownership (clean title check at Registry of Deeds, inheritance/estate verification, real property tax clearance), negotiation of long-term lease terms (10-15 years) within Operator budgetary caps, preparation of lease annexes, securing lessor spousal consent and IDs, and facilitation of formal contract notarization and annotation on title.
• Inclusions: Lessor negotiations, title due diligence, boundary verification, notary liaison, lease execution assistance.
• Exclusions: Actual lease rentals, advance deposits, and title annotation official fees (Operator pays directly).</t>
        </is>
      </c>
      <c r="D10" s="80" t="inlineStr">
        <is>
          <t>Per Greenfield Site</t>
        </is>
      </c>
      <c r="E10" s="82" t="n">
        <v>103</v>
      </c>
      <c r="F10" s="82" t="n">
        <v>483</v>
      </c>
      <c r="G10" s="83" t="n"/>
      <c r="H10" s="84">
        <f>G10*55</f>
        <v/>
      </c>
      <c r="I10" s="85">
        <f>E10*G10</f>
        <v/>
      </c>
      <c r="J10" s="85">
        <f>F10*G10</f>
        <v/>
      </c>
      <c r="K10" s="81" t="inlineStr">
        <is>
          <t>50% upon mutual execution of Lease Agreement; 50% upon Notarization and Title Annotation.</t>
        </is>
      </c>
      <c r="L10" s="81" t="inlineStr">
        <is>
          <t>Executed &amp; Notarized Contract of Lease + Clean Title Dossier</t>
        </is>
      </c>
    </row>
    <row r="11" ht="45" customHeight="1">
      <c r="A11" s="80" t="inlineStr">
        <is>
          <t>SAQ-05</t>
        </is>
      </c>
      <c r="B11" s="81" t="inlineStr">
        <is>
          <t>Local Community, Barangay &amp; Neighborhood Clearances</t>
        </is>
      </c>
      <c r="C11" s="81" t="inlineStr">
        <is>
          <t>[OPERATIONAL BASELINE: TowerCo secures community/Barangay clearances for TowerCo towers. COMMERCIAL PRICING BASIS: Standby / Contingency Call-Off Rate Card for Operator Self-Acquisition / Greenfield sites]. Securing official local community clearances: presentation to Barangay Council, public hearing facilitation (if mandated), processing and issuance of official Barangay Resolution of Support, Barangay Construction Clearance, and certified Neighborhood / Homeowners Association (HOA) Resolution / Certificate of No Objection from contiguous property owners within a 50-meter radius.
• Inclusions: Barangay consultations, neighbor signature campaigns, clearance filing and follow-through, official receipts.
• Exclusions: Official LGU statutory fees (reimbursable at actual cost against official receipts).</t>
        </is>
      </c>
      <c r="D11" s="80" t="inlineStr">
        <is>
          <t>Per Site</t>
        </is>
      </c>
      <c r="E11" s="82" t="n">
        <v>1000</v>
      </c>
      <c r="F11" s="82" t="n">
        <v>5000</v>
      </c>
      <c r="G11" s="83" t="n"/>
      <c r="H11" s="84">
        <f>G11*55</f>
        <v/>
      </c>
      <c r="I11" s="85">
        <f>E11*G11</f>
        <v/>
      </c>
      <c r="J11" s="85">
        <f>F11*G11</f>
        <v/>
      </c>
      <c r="K11" s="81" t="inlineStr">
        <is>
          <t>100% upon issuance of certified Barangay Clearance &amp; HOA No Objection Resolution.</t>
        </is>
      </c>
      <c r="L11" s="81" t="inlineStr">
        <is>
          <t>Certified Barangay Clearance &amp; HOA Resolution of No Objection</t>
        </is>
      </c>
    </row>
    <row r="12" ht="45" customHeight="1">
      <c r="A12" s="80" t="inlineStr">
        <is>
          <t>SAQ-06</t>
        </is>
      </c>
      <c r="B12" s="81" t="inlineStr">
        <is>
          <t>Local Government Unit (LGU) Building &amp; Construction Permits</t>
        </is>
      </c>
      <c r="C12" s="81" t="inlineStr">
        <is>
          <t>[OPERATIONAL BASELINE: TowerCo secures LGU Building Permits under PD 1096 for TowerCo towers. COMMERCIAL PRICING BASIS: Standby / Contingency Call-Off Rate Card for Operator Self-Build Greenfield Monopoles]. Complete processing and procurement of municipal/city LGU Building Permits in accordance with the National Building Code of the Philippines (PD 1096). Scope includes securing Locational Clearance, Zoning Compliance, Architectural Permit, Civil/Structural Permit, Electrical Permit, Sanitary/Plumbing Permit, and Mechanical Permit, backed by complete sets of plans signed and sealed by licensed Professional Engineers (Civil, Structural, Electrical, PEE).
• Inclusions: Permit application filing, engineering plan liaison, follow-through across city/municipal engineering offices.
• Exclusions: Official municipal permit assessment fees (reimbursable at face value against official receipts).</t>
        </is>
      </c>
      <c r="D12" s="80" t="inlineStr">
        <is>
          <t>Per Greenfield Site / Co-loc where required</t>
        </is>
      </c>
      <c r="E12" s="82" t="n">
        <v>103</v>
      </c>
      <c r="F12" s="82" t="n">
        <v>483</v>
      </c>
      <c r="G12" s="83" t="n"/>
      <c r="H12" s="84">
        <f>G12*55</f>
        <v/>
      </c>
      <c r="I12" s="85">
        <f>E12*G12</f>
        <v/>
      </c>
      <c r="J12" s="85">
        <f>F12*G12</f>
        <v/>
      </c>
      <c r="K12" s="81" t="inlineStr">
        <is>
          <t>100% upon release of official LGU Building Permit and Approved Engineering Plans.</t>
        </is>
      </c>
      <c r="L12" s="81" t="inlineStr">
        <is>
          <t>Official LGU Building Permit &amp; Endorsed Blueprints</t>
        </is>
      </c>
    </row>
    <row r="13" ht="45" customHeight="1">
      <c r="A13" s="80" t="inlineStr">
        <is>
          <t>SAQ-07</t>
        </is>
      </c>
      <c r="B13" s="81" t="inlineStr">
        <is>
          <t>Statutory &amp; Environmental Clearances (CAAP, DENR, DPWH)</t>
        </is>
      </c>
      <c r="C13" s="81" t="inlineStr">
        <is>
          <t>[OPERATIONAL BASELINE: TowerCo secures CAAP Height Clearance and DENR CNC/ECC for TowerCo assets. COMMERCIAL PRICING BASIS: Standby / Contingency Call-Off Rate Card for Operator Self-Build Greenfield Monopoles]. Procurement of mandatory national statutory clearances: Civil Aviation Authority of the Philippines (CAAP) Height Clearance Permit / Obstruction Evaluation; Department of Environment and Natural Resources (DENR) Certificate of Non-Coverage (CNC) or Environmental Compliance Certificate (ECC); and Department of Public Works and Highways (DPWH) Road Right-of-Way (ROW) clearance where site access fronts national highways.
• Inclusions: Technical submittals, coordinate and elevation certification, CAAP/DENR filing and technical defense.
• Exclusions: Official statutory assessment fees (reimbursable at actual cost).</t>
        </is>
      </c>
      <c r="D13" s="80" t="inlineStr">
        <is>
          <t>Per Site</t>
        </is>
      </c>
      <c r="E13" s="82" t="n">
        <v>103</v>
      </c>
      <c r="F13" s="82" t="n">
        <v>483</v>
      </c>
      <c r="G13" s="83" t="n"/>
      <c r="H13" s="84">
        <f>G13*55</f>
        <v/>
      </c>
      <c r="I13" s="85">
        <f>E13*G13</f>
        <v/>
      </c>
      <c r="J13" s="85">
        <f>F13*G13</f>
        <v/>
      </c>
      <c r="K13" s="81" t="inlineStr">
        <is>
          <t>100% upon issuance of official CAAP Height Clearance and DENR CNC/ECC.</t>
        </is>
      </c>
      <c r="L13" s="81" t="inlineStr">
        <is>
          <t>Official CAAP Height Clearance Permit &amp; DENR CNC/ECC</t>
        </is>
      </c>
    </row>
    <row r="14" ht="45" customHeight="1">
      <c r="A14" s="80" t="inlineStr">
        <is>
          <t>SAQ-08</t>
        </is>
      </c>
      <c r="B14" s="81" t="inlineStr">
        <is>
          <t>Utility Interconnection, CFEI, FSIC &amp; Occupancy Permitting</t>
        </is>
      </c>
      <c r="C14" s="81" t="inlineStr">
        <is>
          <t>[OPERATIONAL BASELINE: TowerCo manages utility service entrance and meter installation on shared compound. COMMERCIAL PRICING BASIS: Standby / Contingency Call-Off Rate Card for Operator Self-Build sites]. Securing post-construction occupancy and power clearances: processing Certificate of Final Electrical Inspection (CFEI), Bureau of Fire Protection (BFP) Fire Safety Inspection Certificate (FSIC), commercial power utility (Meralco / Regional Electric Cooperative) service application, transformer tapping coordination, meter base energization, and municipal LGU Certificate of Final Occupancy / Permit to Operate.
• Inclusions: BFP inspection facilitation, CFEI filing, utility coordination, meter installation liaison, occupancy release.
• Exclusions: Utility transformer installation capital contribution and security deposits (paid by Operator).</t>
        </is>
      </c>
      <c r="D14" s="80" t="inlineStr">
        <is>
          <t>Per Site</t>
        </is>
      </c>
      <c r="E14" s="82" t="n">
        <v>1000</v>
      </c>
      <c r="F14" s="82" t="n">
        <v>5000</v>
      </c>
      <c r="G14" s="83" t="n"/>
      <c r="H14" s="84">
        <f>G14*55</f>
        <v/>
      </c>
      <c r="I14" s="85">
        <f>E14*G14</f>
        <v/>
      </c>
      <c r="J14" s="85">
        <f>F14*G14</f>
        <v/>
      </c>
      <c r="K14" s="81" t="inlineStr">
        <is>
          <t>50% upon CFEI/FSIC release; 50% upon commercial grid energization and Occupancy Permit.</t>
        </is>
      </c>
      <c r="L14" s="81" t="inlineStr">
        <is>
          <t>CFEI, FSIC, Utility Meter Energization Notice &amp; Certificate of Occupancy</t>
        </is>
      </c>
    </row>
    <row r="15" ht="22" customHeight="1">
      <c r="A15" s="78" t="inlineStr">
        <is>
          <t>DOMAIN: SITE ENGINEERING &amp; DETAILED SITE SURVEY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  <c r="K15" s="79" t="n"/>
      <c r="L15" s="79" t="n"/>
    </row>
    <row r="16" ht="45" customHeight="1">
      <c r="A16" s="80" t="inlineStr">
        <is>
          <t>ENG-01</t>
        </is>
      </c>
      <c r="B16" s="81" t="inlineStr">
        <is>
          <t>Technical Site Survey (TSS) &amp; 360° Drone Panoramic Audit</t>
        </is>
      </c>
      <c r="C16" s="81" t="inlineStr">
        <is>
          <t>Rigorous multi-disciplinary physical site survey executed by licensed telecom and civil engineers: 360° high-resolution panoramic photographic sweep at target antenna centerline (using calibrated drone or mast camera); precision dual-frequency GPS coordinate recording; physical measurement of compound dimensions, tower base, shelter/cabinet footprint; cable gantry routing audit; transport access route assessment (bridge load limits, tight turning radii); and compilation of raw TSS data.
• Inclusions: Multi-disciplinary field team, calibrated drone flight, 360-deg panoramic photos, spatial sketches, access log.
• Exclusions: Tower climbing above 60m (requires separate high-mast specialized rigging permit if applicable).</t>
        </is>
      </c>
      <c r="D16" s="80" t="inlineStr">
        <is>
          <t>Per Site</t>
        </is>
      </c>
      <c r="E16" s="82" t="n">
        <v>1000</v>
      </c>
      <c r="F16" s="82" t="n">
        <v>5000</v>
      </c>
      <c r="G16" s="83" t="n"/>
      <c r="H16" s="84">
        <f>G16*55</f>
        <v/>
      </c>
      <c r="I16" s="85">
        <f>E16*G16</f>
        <v/>
      </c>
      <c r="J16" s="85">
        <f>F16*G16</f>
        <v/>
      </c>
      <c r="K16" s="81" t="inlineStr">
        <is>
          <t>100% upon completion of field survey and upload of raw survey package and photos.</t>
        </is>
      </c>
      <c r="L16" s="81" t="inlineStr">
        <is>
          <t>Raw TSS Survey Package &amp; High-Resolution 360° Panoramic Photo Suite</t>
        </is>
      </c>
    </row>
    <row r="17" ht="45" customHeight="1">
      <c r="A17" s="80" t="inlineStr">
        <is>
          <t>ENG-02</t>
        </is>
      </c>
      <c r="B17" s="81" t="inlineStr">
        <is>
          <t>Structural Loading, Wind Stress &amp; Civil Engineering Assessment</t>
        </is>
      </c>
      <c r="C17" s="81" t="inlineStr">
        <is>
          <t>Engineering structural evaluation of the proposed host structure (tower, rooftop, or monopole): audit of steel member sections, bracing, gusset plates, anchor bolts, and corrosion condition; calculation of total Effective Projected Area (EPA) and weight for new equipment (3x 8T8R RRU, 3x macro antennas/AAUs, AMB brackets, hybrid cable); structural wind load simulation under TIA-222-H for 250 km/h basic wind speed (Category 5 typhoon standard); foundation capacity verification; and formal structural analysis report certified by a licensed Professional Structural Engineer (PE).
• Inclusions: Structural audit, EPA calculations, TIA-222-H wind simulation, foundation check, PE sign-off.
• Exclusions: Tower reinforcement civil execution (governed by separate structural modification call-out rate card).</t>
        </is>
      </c>
      <c r="D17" s="80" t="inlineStr">
        <is>
          <t>Per Site</t>
        </is>
      </c>
      <c r="E17" s="82" t="n">
        <v>1000</v>
      </c>
      <c r="F17" s="82" t="n">
        <v>5000</v>
      </c>
      <c r="G17" s="83" t="n"/>
      <c r="H17" s="84">
        <f>G17*55</f>
        <v/>
      </c>
      <c r="I17" s="85">
        <f>E17*G17</f>
        <v/>
      </c>
      <c r="J17" s="85">
        <f>F17*G17</f>
        <v/>
      </c>
      <c r="K17" s="81" t="inlineStr">
        <is>
          <t>100% upon submission and acceptance of the PE-Endorsed Structural Analysis Report.</t>
        </is>
      </c>
      <c r="L17" s="81" t="inlineStr">
        <is>
          <t>PE-Signed Structural Engineering Analysis &amp; Loading Report</t>
        </is>
      </c>
    </row>
    <row r="18" ht="45" customHeight="1">
      <c r="A18" s="80" t="inlineStr">
        <is>
          <t>ENG-03</t>
        </is>
      </c>
      <c r="B18" s="81" t="inlineStr">
        <is>
          <t>Electrical, DC Power &amp; Earth Grounding Engineering Assessment</t>
        </is>
      </c>
      <c r="C18" s="81" t="inlineStr">
        <is>
          <t>Electrical engineering audit of commercial AC utility power and DC power plant: inspection of transformer capacity (kVA), service entrance voltage, phase balance, AC main breaker rating; assessment of existing DC power plant (rectifier total capacity, SMPS controller, available DC branch breakers &gt;= 63A for new radio load); calculation of LiFePO4 battery autonomy (minimum 4.0h @ 3.0 kW load, &lt;= 80% DoD); and 3-point fall-of-potential earth resistance measurement of the grounding grid, mandating &lt;= 5.0 Ohms pursuant to Philippine Electrical Code (PEC) and TelTech engineering specifications.
• Inclusions: Commercial power audit, DC rectifier capacity calculation, battery autonomy simulation, 3-point earth test.
• Exclusions: Major utility transformer upgrades (handled under utility capex contribution).</t>
        </is>
      </c>
      <c r="D18" s="80" t="inlineStr">
        <is>
          <t>Per Site</t>
        </is>
      </c>
      <c r="E18" s="82" t="n">
        <v>1000</v>
      </c>
      <c r="F18" s="82" t="n">
        <v>5000</v>
      </c>
      <c r="G18" s="83" t="n"/>
      <c r="H18" s="84">
        <f>G18*55</f>
        <v/>
      </c>
      <c r="I18" s="85">
        <f>E18*G18</f>
        <v/>
      </c>
      <c r="J18" s="85">
        <f>F18*G18</f>
        <v/>
      </c>
      <c r="K18" s="81" t="inlineStr">
        <is>
          <t>100% upon Operator acceptance of Electrical &amp; Power Assessment Report.</t>
        </is>
      </c>
      <c r="L18" s="81" t="inlineStr">
        <is>
          <t>Electrical, Power &amp; Grounding Engineering Assessment Report</t>
        </is>
      </c>
    </row>
    <row r="19" ht="45" customHeight="1">
      <c r="A19" s="80" t="inlineStr">
        <is>
          <t>ENG-04</t>
        </is>
      </c>
      <c r="B19" s="81" t="inlineStr">
        <is>
          <t>RF Engineering Siting, Line-of-Sight (LOS) &amp; Clutter Assessment</t>
        </is>
      </c>
      <c r="C19" s="81" t="inlineStr">
        <is>
          <t>On-site RF validation of nominal design coverage over target barangay demand centroid: physical line-of-sight (LOS) inspection at proposed antenna centerlines (30m, 35m, 40m AGL); clutter height and foliage density classification; identification of close-in obstructions within 200m of sector azimuths (0°, 120°, 240°); calculation of first Fresnel zone clearance; and field verification that simulated coverage will achieve target cell-edge RSRP &gt;= -95 dBm and SINR &gt;= 6 dB.
• Inclusions: On-ground visual LOS audit, clutter verification, azimuth clearance check, RF siting validation report.
• Exclusions: Continuous cluster drive test (governed under Lot 5 Scope RNO-01).</t>
        </is>
      </c>
      <c r="D19" s="80" t="inlineStr">
        <is>
          <t>Per Site</t>
        </is>
      </c>
      <c r="E19" s="82" t="n">
        <v>1000</v>
      </c>
      <c r="F19" s="82" t="n">
        <v>5000</v>
      </c>
      <c r="G19" s="83" t="n"/>
      <c r="H19" s="84">
        <f>G19*55</f>
        <v/>
      </c>
      <c r="I19" s="85">
        <f>E19*G19</f>
        <v/>
      </c>
      <c r="J19" s="85">
        <f>F19*G19</f>
        <v/>
      </c>
      <c r="K19" s="81" t="inlineStr">
        <is>
          <t>100% upon RF Engineering approval of Siting &amp; LOS Report.</t>
        </is>
      </c>
      <c r="L19" s="81" t="inlineStr">
        <is>
          <t>RF Siting &amp; Line-of-Sight (LOS) Clearance Report</t>
        </is>
      </c>
    </row>
    <row r="20" ht="45" customHeight="1">
      <c r="A20" s="80" t="inlineStr">
        <is>
          <t>ENG-05</t>
        </is>
      </c>
      <c r="B20" s="81" t="inlineStr">
        <is>
          <t>Detailed Engineering Design (DED) &amp; Technical Site Survey Report (TSSR)</t>
        </is>
      </c>
      <c r="C20" s="81" t="inlineStr">
        <is>
          <t>Consolidation of multidisciplinary survey data into a complete Detailed Engineering Design (DED) blueprint package and Technical Site Survey Report (TSSR): Architectural Site Layout Plan; Tower Elevation &amp; Antenna Orientation Plan; Antenna Mounting Bracket (AMB) Fabrication Details; Cable Ladder, Gantry &amp; Cable Tray Routing Plan; Electrical Single Line Diagram (SLD); Earth Grounding Ring &amp; Lightning Protection Layout; Site Bill of Quantities (BoQ); and formal endorsement by licensed Professional Engineers (PE-Civil/Structural, PE-Electrical, PECE-Electronics) conforming to NBCP and PEC.
• Inclusions: AutoCAD DED drawings, multi-PE signed &amp; sealed plans, BoQ compilation, full TSSR dossier submission.
• Exclusions: Structural redesigns necessitated by Operator-mandated changes to nominal search ring after survey approval.</t>
        </is>
      </c>
      <c r="D20" s="80" t="inlineStr">
        <is>
          <t>Per Site</t>
        </is>
      </c>
      <c r="E20" s="82" t="n">
        <v>1000</v>
      </c>
      <c r="F20" s="82" t="n">
        <v>5000</v>
      </c>
      <c r="G20" s="83" t="n"/>
      <c r="H20" s="84">
        <f>G20*55</f>
        <v/>
      </c>
      <c r="I20" s="85">
        <f>E20*G20</f>
        <v/>
      </c>
      <c r="J20" s="85">
        <f>F20*G20</f>
        <v/>
      </c>
      <c r="K20" s="81" t="inlineStr">
        <is>
          <t>100% upon formal joint Operator-TowerCo TSSR approval.</t>
        </is>
      </c>
      <c r="L20" s="81" t="inlineStr">
        <is>
          <t>Approved TSSR Dossier with PE Signed &amp; Sealed CAD Blueprints</t>
        </is>
      </c>
    </row>
    <row r="21" ht="45" customHeight="1">
      <c r="A21" s="80" t="inlineStr">
        <is>
          <t>ENG-06</t>
        </is>
      </c>
      <c r="B21" s="81" t="inlineStr">
        <is>
          <t>As-Built Engineering Documentation &amp; Final Completion Dossier</t>
        </is>
      </c>
      <c r="C21" s="81" t="inlineStr">
        <is>
          <t>Comprehensive post-construction field engineering audit capturing all redline installation adjustments: updating AutoCAD drawings to reflect exact as-built antenna heights, azimuths, mechanical tilts, optical cable routes, rack layouts, breaker allocations, and grounding busbar termination points; compiling comprehensive photographic completion book (minimum 50 high-res timestamped photos per site); and securing final Professional Engineer endorsement.
• Inclusions: Field redline audit, final CAD as-built drawings (DWG &amp; PDF), photographic completion book, PE endorsement.
• Exclusions: Routine operational documentation updates post-commercial acceptance.</t>
        </is>
      </c>
      <c r="D21" s="80" t="inlineStr">
        <is>
          <t>Per Site</t>
        </is>
      </c>
      <c r="E21" s="82" t="n">
        <v>1000</v>
      </c>
      <c r="F21" s="82" t="n">
        <v>5000</v>
      </c>
      <c r="G21" s="83" t="n"/>
      <c r="H21" s="84">
        <f>G21*55</f>
        <v/>
      </c>
      <c r="I21" s="85">
        <f>E21*G21</f>
        <v/>
      </c>
      <c r="J21" s="85">
        <f>F21*G21</f>
        <v/>
      </c>
      <c r="K21" s="81" t="inlineStr">
        <is>
          <t>100% upon formal issuance of the Final Acceptance Certificate (FAC).</t>
        </is>
      </c>
      <c r="L21" s="81" t="inlineStr">
        <is>
          <t>Final As-Built CAD Drawings (DWG &amp; PDF) + Photographic Completion Book</t>
        </is>
      </c>
    </row>
    <row r="22" ht="22" customHeight="1">
      <c r="A22" s="78" t="inlineStr">
        <is>
          <t>DOMAIN: RADIO NETWORK PLANNING &amp; DESIGN</t>
        </is>
      </c>
      <c r="B22" s="79" t="n"/>
      <c r="C22" s="79" t="n"/>
      <c r="D22" s="79" t="n"/>
      <c r="E22" s="79" t="n"/>
      <c r="F22" s="79" t="n"/>
      <c r="G22" s="79" t="n"/>
      <c r="H22" s="79" t="n"/>
      <c r="I22" s="79" t="n"/>
      <c r="J22" s="79" t="n"/>
      <c r="K22" s="79" t="n"/>
      <c r="L22" s="79" t="n"/>
    </row>
    <row r="23" ht="45" customHeight="1">
      <c r="A23" s="80" t="inlineStr">
        <is>
          <t>RNPD-01</t>
        </is>
      </c>
      <c r="B23" s="81" t="inlineStr">
        <is>
          <t>Macro RF Nominal Planning &amp; 3D Propagation Modeling</t>
        </is>
      </c>
      <c r="C23" s="81" t="inlineStr">
        <is>
          <t>Macro-level 5G RF network planning using advanced 3D ray-tracing propagation modeling engines, calibrated against high-resolution 5-meter clutter models and Digital Terrain Models (DTM). Sizing and generation of nominal candidate search rings across high-density suburban and rural barangay centroids; multi-carrier capacity dimensioning for Band n50 (60 MHz NCR / up to 80 MHz Provincial, Software-Configurable 40/50/60/80 MHz TDD); coverage prediction mapping (RSRP, SINR, Best Server, Downlink/Uplink Throughput); and inter-site distance (ISD) optimization.
• Inclusions: 3D ray-tracing simulation, clutter model calibration, nominal site planning, search ring generation.
• Exclusions: Procurement of specialized external digital terrain data licenses (provided by Operator).</t>
        </is>
      </c>
      <c r="D23" s="80" t="inlineStr">
        <is>
          <t>Per Site</t>
        </is>
      </c>
      <c r="E23" s="82" t="n">
        <v>1000</v>
      </c>
      <c r="F23" s="82" t="n">
        <v>5000</v>
      </c>
      <c r="G23" s="83" t="n"/>
      <c r="H23" s="84">
        <f>G23*55</f>
        <v/>
      </c>
      <c r="I23" s="85">
        <f>E23*G23</f>
        <v/>
      </c>
      <c r="J23" s="85">
        <f>F23*G23</f>
        <v/>
      </c>
      <c r="K23" s="81" t="inlineStr">
        <is>
          <t>100% upon formal Operator approval of the Nominal RF Network Design Package.</t>
        </is>
      </c>
      <c r="L23" s="81" t="inlineStr">
        <is>
          <t>Nominal RF Network Design Package &amp; Ray-Tracing Simulation Dossier</t>
        </is>
      </c>
    </row>
    <row r="24" ht="45" customHeight="1">
      <c r="A24" s="80" t="inlineStr">
        <is>
          <t>RNPD-02</t>
        </is>
      </c>
      <c r="B24" s="81" t="inlineStr">
        <is>
          <t>Cell Design Data (CDD) Engineering &amp; Parameter Allocation</t>
        </is>
      </c>
      <c r="C24" s="81" t="inlineStr">
        <is>
          <t>Engineering, generation, and validation of detailed site-specific Cell Design Data (CDD) sheets: cell naming taxonomy, gNodeB IDs, Physical Cell ID (PCI) planning adhering to modulo-3 and modulo-30 collision rules, Root Sequence Index (RSI), Tracking Area Codes (TAC), Neighbor Cell Lists (NCL / ANR), PRACH configuration, absolute radio-frequency channel numbers (ARFCN), per-carrier transmit power, and antenna configuration parameters (azimuth, mechanical tilt, eRET ranges).
• Inclusions: CDD parameter engineering, PCI planning, neighbor list generation, configuration script generation.
• Exclusions: Core network routing configuration (handled under Lot 3).</t>
        </is>
      </c>
      <c r="D24" s="80" t="inlineStr">
        <is>
          <t>Per Site</t>
        </is>
      </c>
      <c r="E24" s="82" t="n">
        <v>1000</v>
      </c>
      <c r="F24" s="82" t="n">
        <v>5000</v>
      </c>
      <c r="G24" s="83" t="n"/>
      <c r="H24" s="84">
        <f>G24*55</f>
        <v/>
      </c>
      <c r="I24" s="85">
        <f>E24*G24</f>
        <v/>
      </c>
      <c r="J24" s="85">
        <f>F24*G24</f>
        <v/>
      </c>
      <c r="K24" s="81" t="inlineStr">
        <is>
          <t>100% upon validation and successful upload of CDD parameters into the network EMS/OSS.</t>
        </is>
      </c>
      <c r="L24" s="81" t="inlineStr">
        <is>
          <t>Approved Cell Design Data (CDD) Sheet &amp; Parameter Script</t>
        </is>
      </c>
    </row>
    <row r="25" ht="22" customHeight="1">
      <c r="A25" s="78" t="inlineStr">
        <is>
          <t>DOMAIN: TELECOM LOGISTICS &amp; MATERIAL HANDLING</t>
        </is>
      </c>
      <c r="B25" s="79" t="n"/>
      <c r="C25" s="79" t="n"/>
      <c r="D25" s="79" t="n"/>
      <c r="E25" s="79" t="n"/>
      <c r="F25" s="79" t="n"/>
      <c r="G25" s="79" t="n"/>
      <c r="H25" s="79" t="n"/>
      <c r="I25" s="79" t="n"/>
      <c r="J25" s="79" t="n"/>
      <c r="K25" s="79" t="n"/>
      <c r="L25" s="79" t="n"/>
    </row>
    <row r="26" ht="45" customHeight="1">
      <c r="A26" s="80" t="inlineStr">
        <is>
          <t>LOG-01</t>
        </is>
      </c>
      <c r="B26" s="81" t="inlineStr">
        <is>
          <t>Central &amp; Regional Warehousing, Buffer Staging &amp; Serialized Asset Tagging</t>
        </is>
      </c>
      <c r="C26" s="81" t="inlineStr">
        <is>
          <t>Receipt of OEM shipments at Port of Manila / Batangas; bonded climate-controlled warehousing in central Mega Manila and regional hubs (North Luzon, South Luzon, Visayas, Mindanao); unboxing, physical inspection, and QA damage checking; barcode asset tagging at serial-number level; updating Operator ERP/WMS inventory records; and maintaining segregated buffer stock.
• Inclusions: Warehouse facility, security, ERP tracking, barcode tagging, climate control, buffer stock management.
• Exclusions: Port customs duties and VAT taxes (direct Operator responsibility).</t>
        </is>
      </c>
      <c r="D26" s="80" t="inlineStr">
        <is>
          <t>Per Site</t>
        </is>
      </c>
      <c r="E26" s="82" t="n">
        <v>1000</v>
      </c>
      <c r="F26" s="82" t="n">
        <v>5000</v>
      </c>
      <c r="G26" s="83" t="n"/>
      <c r="H26" s="84">
        <f>G26*55</f>
        <v/>
      </c>
      <c r="I26" s="85">
        <f>E26*G26</f>
        <v/>
      </c>
      <c r="J26" s="85">
        <f>F26*G26</f>
        <v/>
      </c>
      <c r="K26" s="81" t="inlineStr">
        <is>
          <t>100% upon material receipt, inspection, and barcode registration into inventory ERP.</t>
        </is>
      </c>
      <c r="L26" s="81" t="inlineStr">
        <is>
          <t>Serialized Inventory Receiving Report &amp; Barcode Registry</t>
        </is>
      </c>
    </row>
    <row r="27" ht="45" customHeight="1">
      <c r="A27" s="80" t="inlineStr">
        <is>
          <t>LOG-02</t>
        </is>
      </c>
      <c r="B27" s="81" t="inlineStr">
        <is>
          <t>Site BOM Kitting, Staging &amp; Pre-Assembly Services</t>
        </is>
      </c>
      <c r="C27" s="81" t="inlineStr">
        <is>
          <t>Assembly and kitting of site-specific deployment packages: picking 1x BBU, 3x 8T8R RRUs, 3x macro antennas/AAUs, optical patchcords, DC power cables, Type 2 SPDs, grounding kits, and hardware accessories; pre-cutting cable lengths based on approved TSSR; labeling; staging in protective crates; and performing bench test pre-checks and firmware pre-flashing.
• Inclusions: Picking, staging, pre-cutting cables, labeling, firmware pre-flashing, packaging into site kits.
• Exclusions: Supply of missing OEM radio equipment (OEM responsibility).</t>
        </is>
      </c>
      <c r="D27" s="80" t="inlineStr">
        <is>
          <t>Per Site</t>
        </is>
      </c>
      <c r="E27" s="82" t="n">
        <v>1000</v>
      </c>
      <c r="F27" s="82" t="n">
        <v>5000</v>
      </c>
      <c r="G27" s="83" t="n"/>
      <c r="H27" s="84">
        <f>G27*55</f>
        <v/>
      </c>
      <c r="I27" s="85">
        <f>E27*G27</f>
        <v/>
      </c>
      <c r="J27" s="85">
        <f>F27*G27</f>
        <v/>
      </c>
      <c r="K27" s="81" t="inlineStr">
        <is>
          <t>100% upon staging and issuance of Site Dispatch Slip.</t>
        </is>
      </c>
      <c r="L27" s="81" t="inlineStr">
        <is>
          <t>Site BOM Kitting Slip &amp; Staging Inspection Checklist</t>
        </is>
      </c>
    </row>
    <row r="28" ht="45" customHeight="1">
      <c r="A28" s="80" t="inlineStr">
        <is>
          <t>LOG-03</t>
        </is>
      </c>
      <c r="B28" s="81" t="inlineStr">
        <is>
          <t>Regional Transport &amp; Final-Mile Rough-Road Site Hauling</t>
        </is>
      </c>
      <c r="C28" s="81" t="inlineStr">
        <is>
          <t>Transportation from central warehouse to regional hubs via heavy freight, followed by dedicated final-mile transport to remote barangay site locations utilizing heavy-duty 4x4 trucks, motorized bancas/barges (for island sites), or manual porterage across unpaved rough-road terrain; comprehensive in-transit cargo insurance; and on-site offloading.
• Inclusions: Long-haul freight, final-mile 4x4 hauling, manual porterage, transit insurance, on-site offloading.
• Exclusions: Helicopter airlifts (applicable only under extraordinary force majeure call-out).</t>
        </is>
      </c>
      <c r="D28" s="80" t="inlineStr">
        <is>
          <t>Per Site</t>
        </is>
      </c>
      <c r="E28" s="82" t="n">
        <v>1000</v>
      </c>
      <c r="F28" s="82" t="n">
        <v>5000</v>
      </c>
      <c r="G28" s="83" t="n"/>
      <c r="H28" s="84">
        <f>G28*55</f>
        <v/>
      </c>
      <c r="I28" s="85">
        <f>E28*G28</f>
        <v/>
      </c>
      <c r="J28" s="85">
        <f>F28*G28</f>
        <v/>
      </c>
      <c r="K28" s="81" t="inlineStr">
        <is>
          <t>100% upon verified on-site delivery and execution of Material Receiving Report (MRR).</t>
        </is>
      </c>
      <c r="L28" s="81" t="inlineStr">
        <is>
          <t>Signed Material Receiving Report (MRR) by on-site supervisor</t>
        </is>
      </c>
    </row>
    <row r="29" ht="22" customHeight="1">
      <c r="A29" s="78" t="inlineStr">
        <is>
          <t>DOMAIN: TELECOM INSTALLATION, COMMISSIONING &amp; INTEGRATION</t>
        </is>
      </c>
      <c r="B29" s="79" t="n"/>
      <c r="C29" s="79" t="n"/>
      <c r="D29" s="79" t="n"/>
      <c r="E29" s="79" t="n"/>
      <c r="F29" s="79" t="n"/>
      <c r="G29" s="79" t="n"/>
      <c r="H29" s="79" t="n"/>
      <c r="I29" s="79" t="n"/>
      <c r="J29" s="79" t="n"/>
      <c r="K29" s="79" t="n"/>
      <c r="L29" s="79" t="n"/>
    </row>
    <row r="30" ht="45" customHeight="1">
      <c r="A30" s="80" t="inlineStr">
        <is>
          <t>TI-01</t>
        </is>
      </c>
      <c r="B30" s="81" t="inlineStr">
        <is>
          <t>Tower Rigging &amp; Mechanical Antenna / RRU Installation</t>
        </is>
      </c>
      <c r="C30" s="81" t="inlineStr">
        <is>
          <t>Mechanical mounting by certified riggers: hoisting and installing 3x macro high-gain antennas and 3x 8T8R RRUs on tower antenna mounting brackets (AMB) at specified AGL centerlines (30m to 45m); setting precise mechanical downtilt and sector azimuths (0°, 120°, 240°) using calibrated digital inclinometers and compasses; and installing AISG 2.0 eRET control cables.
• Inclusions: Tower rigging crews, safety equipment, hoisting gear, AMB mounting, antenna and RRU installation.
• Exclusions: Supply of steel antenna mounting brackets (AMB) (governed under Lot 1 hardware).</t>
        </is>
      </c>
      <c r="D30" s="80" t="inlineStr">
        <is>
          <t>Per Site</t>
        </is>
      </c>
      <c r="E30" s="82" t="n">
        <v>1000</v>
      </c>
      <c r="F30" s="82" t="n">
        <v>5000</v>
      </c>
      <c r="G30" s="83" t="n"/>
      <c r="H30" s="84">
        <f>G30*55</f>
        <v/>
      </c>
      <c r="I30" s="85">
        <f>E30*G30</f>
        <v/>
      </c>
      <c r="J30" s="85">
        <f>F30*G30</f>
        <v/>
      </c>
      <c r="K30" s="81" t="inlineStr">
        <is>
          <t>50% upon mechanical mounting completion; 50% upon joint rigging inspection.</t>
        </is>
      </c>
      <c r="L30" s="81" t="inlineStr">
        <is>
          <t>Mechanical Rigging &amp; Antenna Alignment Inspection Sheet</t>
        </is>
      </c>
    </row>
    <row r="31" ht="45" customHeight="1">
      <c r="A31" s="80" t="inlineStr">
        <is>
          <t>TI-02</t>
        </is>
      </c>
      <c r="B31" s="81" t="inlineStr">
        <is>
          <t>RF, Optical Fiber &amp; DC Power Cabling Installation</t>
        </is>
      </c>
      <c r="C31" s="81" t="inlineStr">
        <is>
          <t>Routing, fastening, and dressing armored multi-core optical fiber jumpers and DC power cables along tower cable ladders and horizontal gantries; installing cold-shrink weatherproof boots on all 7/16 DIN or 4.3-10 RF connectors; installing Type 2 DC Surge Protection Devices (SPD) at tower top and base; and bonding 3-point grounding kits to the external ground busbar.
• Inclusions: Cable routing, cleating, hydraulic crimping, weatherproofing, SPD installation, grounding bond.
• Exclusions: Internal civil cabling of third-party shelters.</t>
        </is>
      </c>
      <c r="D31" s="80" t="inlineStr">
        <is>
          <t>Per Site</t>
        </is>
      </c>
      <c r="E31" s="82" t="n">
        <v>1000</v>
      </c>
      <c r="F31" s="82" t="n">
        <v>5000</v>
      </c>
      <c r="G31" s="83" t="n"/>
      <c r="H31" s="84">
        <f>G31*55</f>
        <v/>
      </c>
      <c r="I31" s="85">
        <f>E31*G31</f>
        <v/>
      </c>
      <c r="J31" s="85">
        <f>F31*G31</f>
        <v/>
      </c>
      <c r="K31" s="81" t="inlineStr">
        <is>
          <t>50% upon cabling installation; 50% upon weatherproofing and grounding sign-off.</t>
        </is>
      </c>
      <c r="L31" s="81" t="inlineStr">
        <is>
          <t>Cabling Installation &amp; Weatherproofing Quality Checklist</t>
        </is>
      </c>
    </row>
    <row r="32" ht="45" customHeight="1">
      <c r="A32" s="80" t="inlineStr">
        <is>
          <t>TI-03</t>
        </is>
      </c>
      <c r="B32" s="81" t="inlineStr">
        <is>
          <t>Baseband Unit (BBU) Installation &amp; Cabinet Wiring</t>
        </is>
      </c>
      <c r="C32" s="81" t="inlineStr">
        <is>
          <t>19" rack installation of 5G Baseband Unit (BBU) in outdoor equipment cabinet or shelter; dual -48V DC power wiring to dedicated distribution breakers; routing backhaul transmission optical patchcords to fiber demarcation router; and installing GNSS/GPS antenna and surge arrester with unobstructed sky view for PTP/SyncE clock synchronization.
• Inclusions: Rack mounting, DC wiring, optical patchcord routing, GPS antenna installation, labeling.
• Exclusions: Supply of DC rectifier plant (governed under Lot 2).</t>
        </is>
      </c>
      <c r="D32" s="80" t="inlineStr">
        <is>
          <t>Per Site</t>
        </is>
      </c>
      <c r="E32" s="82" t="n">
        <v>1000</v>
      </c>
      <c r="F32" s="82" t="n">
        <v>5000</v>
      </c>
      <c r="G32" s="83" t="n"/>
      <c r="H32" s="84">
        <f>G32*55</f>
        <v/>
      </c>
      <c r="I32" s="85">
        <f>E32*G32</f>
        <v/>
      </c>
      <c r="J32" s="85">
        <f>F32*G32</f>
        <v/>
      </c>
      <c r="K32" s="81" t="inlineStr">
        <is>
          <t>100% upon BBU rack installation and DC power-up.</t>
        </is>
      </c>
      <c r="L32" s="81" t="inlineStr">
        <is>
          <t>BBU Installation &amp; Cabinet Wiring Verification Sheet</t>
        </is>
      </c>
    </row>
    <row r="33" ht="45" customHeight="1">
      <c r="A33" s="80" t="inlineStr">
        <is>
          <t>TI-04</t>
        </is>
      </c>
      <c r="B33" s="81" t="inlineStr">
        <is>
          <t>Telecom Commissioning, Sweep Testing &amp; Power-Up</t>
        </is>
      </c>
      <c r="C33" s="81" t="inlineStr">
        <is>
          <t>DC power turn-up, voltage and polarity verification; firmware loading and diagnostic testing; optical transceiver Rx/Tx power level verification; and calibrated RF sweep testing measuring Return Loss (&gt;= 16.5 dB) and VSWR (&lt;= 1.35:1) across all antenna ports and jumpers using a calibrated SiteMaster analyzer.
• Inclusions: Commissioning turn-up, firmware loading, optical power check, VSWR sweep testing, test trace logs.
• Exclusions: Rectification of OEM internal hardware manufacturing defects (OEM warranty scope).</t>
        </is>
      </c>
      <c r="D33" s="80" t="inlineStr">
        <is>
          <t>Per Site</t>
        </is>
      </c>
      <c r="E33" s="82" t="n">
        <v>1000</v>
      </c>
      <c r="F33" s="82" t="n">
        <v>5000</v>
      </c>
      <c r="G33" s="83" t="n"/>
      <c r="H33" s="84">
        <f>G33*55</f>
        <v/>
      </c>
      <c r="I33" s="85">
        <f>E33*G33</f>
        <v/>
      </c>
      <c r="J33" s="85">
        <f>F33*G33</f>
        <v/>
      </c>
      <c r="K33" s="81" t="inlineStr">
        <is>
          <t>100% upon successful sweep testing and commissioning approval.</t>
        </is>
      </c>
      <c r="L33" s="81" t="inlineStr">
        <is>
          <t>Commissioning Test Log &amp; VSWR/Return Loss Sweep Traces</t>
        </is>
      </c>
    </row>
    <row r="34" ht="45" customHeight="1">
      <c r="A34" s="80" t="inlineStr">
        <is>
          <t>TI-05</t>
        </is>
      </c>
      <c r="B34" s="81" t="inlineStr">
        <is>
          <t>gNodeB Network Integration &amp; OSS Commercial On-Air</t>
        </is>
      </c>
      <c r="C34" s="81" t="inlineStr">
        <is>
          <t>Transmission IP integration (VLAN, BGP, IPsec); establishing S1-U / N2/N3 control and user plane interfaces to 5G Core (AMF/UPF); synchronization with TelTech EMS/OSS; activating 3 sectors on Band n50 (60 MHz NCR / up to 80 MHz Provincial, Software-Configurable 40/50/60/80 MHz TDD); clearing all active alarms; and achieving stable commercial on-air operational state.
• Inclusions: IP configuration, Core integration, OSS synchronization, carrier activation, alarm clearance.
• Exclusions: Core network UPF dimensioning (governed under Lot 3).</t>
        </is>
      </c>
      <c r="D34" s="80" t="inlineStr">
        <is>
          <t>Per Site</t>
        </is>
      </c>
      <c r="E34" s="82" t="n">
        <v>1000</v>
      </c>
      <c r="F34" s="82" t="n">
        <v>5000</v>
      </c>
      <c r="G34" s="83" t="n"/>
      <c r="H34" s="84">
        <f>G34*55</f>
        <v/>
      </c>
      <c r="I34" s="85">
        <f>E34*G34</f>
        <v/>
      </c>
      <c r="J34" s="85">
        <f>F34*G34</f>
        <v/>
      </c>
      <c r="K34" s="81" t="inlineStr">
        <is>
          <t>100% upon site on-air declaration and alarm-free verification.</t>
        </is>
      </c>
      <c r="L34" s="81" t="inlineStr">
        <is>
          <t>Commercial On-Air Certificate &amp; OSS Alarm-Free Screenshot</t>
        </is>
      </c>
    </row>
    <row r="35" ht="22" customHeight="1">
      <c r="A35" s="78" t="inlineStr">
        <is>
          <t>DOMAIN: SINGLE SITE VERIFICATION &amp; ACCEPTANCE</t>
        </is>
      </c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79" t="n"/>
      <c r="L35" s="79" t="n"/>
    </row>
    <row r="36" ht="45" customHeight="1">
      <c r="A36" s="80" t="inlineStr">
        <is>
          <t>ACC-01</t>
        </is>
      </c>
      <c r="B36" s="81" t="inlineStr">
        <is>
          <t>Mechanical, Civil &amp; Electrical Site Acceptance (ATP-A)</t>
        </is>
      </c>
      <c r="C36" s="81" t="inlineStr">
        <is>
          <t>Joint physical on-site inspection: verifying bolt torque marks on tower mounts, cable ladder fastening, cable tray grounding, weatherproofing seal integrity, electrical breaker labeling, 3-point earth ground resistance audit (confirming &lt;= 5.0 Ohms), compound housekeeping, and punchlist compilation and clearance.
• Inclusions: Joint physical audit, torque inspection, grounding verification, punchlist clearance.
• Exclusions: Radio performance verification (covered under ATP-B and SSV).</t>
        </is>
      </c>
      <c r="D36" s="80" t="inlineStr">
        <is>
          <t>Per Site</t>
        </is>
      </c>
      <c r="E36" s="82" t="n">
        <v>1000</v>
      </c>
      <c r="F36" s="82" t="n">
        <v>5000</v>
      </c>
      <c r="G36" s="83" t="n"/>
      <c r="H36" s="84">
        <f>G36*55</f>
        <v/>
      </c>
      <c r="I36" s="85">
        <f>E36*G36</f>
        <v/>
      </c>
      <c r="J36" s="85">
        <f>F36*G36</f>
        <v/>
      </c>
      <c r="K36" s="81" t="inlineStr">
        <is>
          <t>100% upon joint ATP-A punchlist clearance and sign-off.</t>
        </is>
      </c>
      <c r="L36" s="81" t="inlineStr">
        <is>
          <t>Signed ATP-A Certificate &amp; Punchlist Clearance Sheet</t>
        </is>
      </c>
    </row>
    <row r="37" ht="45" customHeight="1">
      <c r="A37" s="80" t="inlineStr">
        <is>
          <t>ACC-02</t>
        </is>
      </c>
      <c r="B37" s="81" t="inlineStr">
        <is>
          <t>Active Telecom &amp; Functional Acceptance (ATP-B)</t>
        </is>
      </c>
      <c r="C37" s="81" t="inlineStr">
        <is>
          <t>Remote and local active functional testing: verifying 8T8R MU-MIMO operation, electronic downtilt (eRET) remote control functionality via OSS, power fail / mains failure alarm simulation, optical fiber failover test, and carrier shutdown/restart diagnostic tests to ensure robust autonomic operation.
• Inclusions: Remote EMS diagnostic testing, alarm simulation, eRET control validation, MIMO verification.
• Exclusions: Physical climbing inspection (covered under ATP-A).</t>
        </is>
      </c>
      <c r="D37" s="80" t="inlineStr">
        <is>
          <t>Per Site</t>
        </is>
      </c>
      <c r="E37" s="82" t="n">
        <v>1000</v>
      </c>
      <c r="F37" s="82" t="n">
        <v>5000</v>
      </c>
      <c r="G37" s="83" t="n"/>
      <c r="H37" s="84">
        <f>G37*55</f>
        <v/>
      </c>
      <c r="I37" s="85">
        <f>E37*G37</f>
        <v/>
      </c>
      <c r="J37" s="85">
        <f>F37*G37</f>
        <v/>
      </c>
      <c r="K37" s="81" t="inlineStr">
        <is>
          <t>100% upon joint ATP-B sign-off.</t>
        </is>
      </c>
      <c r="L37" s="81" t="inlineStr">
        <is>
          <t>Signed ATP-B Functional Acceptance Certificate</t>
        </is>
      </c>
    </row>
    <row r="38" ht="45" customHeight="1">
      <c r="A38" s="80" t="inlineStr">
        <is>
          <t>ACC-03</t>
        </is>
      </c>
      <c r="B38" s="81" t="inlineStr">
        <is>
          <t>Single Site Verification (SSV) &amp; RF Call Testing</t>
        </is>
      </c>
      <c r="C38" s="81" t="inlineStr">
        <is>
          <t>On-ground field testing using 5G test UE and scanner: stationary throughput tests at near, mid, and cell-edge points per sector (validating &gt;= 450 Mbps peak DL, &gt;= 50 Mbps cell-edge DL, &gt;= 15 Mbps cell-edge UL); sector swap validation; intra-site handover execution; latency measurement (&lt;= 18 ms RTT); and compilation and sign-off of the formal SSV Report.
• Inclusions: Stationary throughput tests, sector swap check, handover test, ping test, SSV report compilation.
• Exclusions: Multi-site cluster drive testing (covered under Category 7).</t>
        </is>
      </c>
      <c r="D38" s="80" t="inlineStr">
        <is>
          <t>Per Site</t>
        </is>
      </c>
      <c r="E38" s="82" t="n">
        <v>1000</v>
      </c>
      <c r="F38" s="82" t="n">
        <v>5000</v>
      </c>
      <c r="G38" s="83" t="n"/>
      <c r="H38" s="84">
        <f>G38*55</f>
        <v/>
      </c>
      <c r="I38" s="85">
        <f>E38*G38</f>
        <v/>
      </c>
      <c r="J38" s="85">
        <f>F38*G38</f>
        <v/>
      </c>
      <c r="K38" s="81" t="inlineStr">
        <is>
          <t>100% upon formal SSV Report approval by Operator.</t>
        </is>
      </c>
      <c r="L38" s="81" t="inlineStr">
        <is>
          <t>Approved Single Site Verification (SSV) Report &amp; Log Files</t>
        </is>
      </c>
    </row>
    <row r="39" ht="22" customHeight="1">
      <c r="A39" s="78" t="inlineStr">
        <is>
          <t>DOMAIN: CLUSTER RADIO NETWORK OPTIMIZATION</t>
        </is>
      </c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79" t="n"/>
      <c r="L39" s="79" t="n"/>
    </row>
    <row r="40" ht="45" customHeight="1">
      <c r="A40" s="80" t="inlineStr">
        <is>
          <t>RNO-01</t>
        </is>
      </c>
      <c r="B40" s="81" t="inlineStr">
        <is>
          <t>Pre-Launch Cluster Drive Testing &amp; RF Baseline Audit</t>
        </is>
      </c>
      <c r="C40" s="81" t="inlineStr">
        <is>
          <t>Continuous scanner and test UE drive testing across contiguous clusters of 10–20 sites; capturing RSRP, SINR, CQI, throughput, and coverage overlap; and identifying pilot pollution zones, coverage holes, and excessive inter-cell interference.
• Inclusions: Drive test vehicle, scanner, test UEs, GPS logging, drive test raw log processing, baseline report.
• Exclusions: Physical antenna re-orientation (governed under RNO-02).</t>
        </is>
      </c>
      <c r="D40" s="80" t="inlineStr">
        <is>
          <t>Per Site Share (or Per Cluster)</t>
        </is>
      </c>
      <c r="E40" s="82" t="n">
        <v>1000</v>
      </c>
      <c r="F40" s="82" t="n">
        <v>5000</v>
      </c>
      <c r="G40" s="83" t="n"/>
      <c r="H40" s="84">
        <f>G40*55</f>
        <v/>
      </c>
      <c r="I40" s="85">
        <f>E40*G40</f>
        <v/>
      </c>
      <c r="J40" s="85">
        <f>F40*G40</f>
        <v/>
      </c>
      <c r="K40" s="81" t="inlineStr">
        <is>
          <t>50% upon completion of cluster drive test and baseline report submission.</t>
        </is>
      </c>
      <c r="L40" s="81" t="inlineStr">
        <is>
          <t>Cluster Drive Test Raw Logs &amp; RF Baseline Audit Report</t>
        </is>
      </c>
    </row>
    <row r="41" ht="45" customHeight="1">
      <c r="A41" s="80" t="inlineStr">
        <is>
          <t>RNO-02</t>
        </is>
      </c>
      <c r="B41" s="81" t="inlineStr">
        <is>
          <t>Cluster Physical &amp; Soft Parameter Optimization</t>
        </is>
      </c>
      <c r="C41" s="81" t="inlineStr">
        <is>
          <t>Iterative optimization across cluster: electronic remote electrical tilt (eRET) adjustments to control cell-edge interference and shape coverage; azimuth and mechanical tilt adjustments where indicated; PCI re-planning to resolve mod-3/mod-30 clashes; neighbor list (NCL) cleanup; handover threshold tuning; and uplink power control adjustments.
• Inclusions: eRET tuning, PCI re-planning, neighbor tuning, handover optimization, parameter upload script.
• Exclusions: Major tower antenna re-heightening (governed by call-out rate card).</t>
        </is>
      </c>
      <c r="D41" s="80" t="inlineStr">
        <is>
          <t>Per Site Share (or Per Cluster)</t>
        </is>
      </c>
      <c r="E41" s="82" t="n">
        <v>1000</v>
      </c>
      <c r="F41" s="82" t="n">
        <v>5000</v>
      </c>
      <c r="G41" s="83" t="n"/>
      <c r="H41" s="84">
        <f>G41*55</f>
        <v/>
      </c>
      <c r="I41" s="85">
        <f>E41*G41</f>
        <v/>
      </c>
      <c r="J41" s="85">
        <f>F41*G41</f>
        <v/>
      </c>
      <c r="K41" s="81" t="inlineStr">
        <is>
          <t>50% upon parameter implementation and verification in OSS.</t>
        </is>
      </c>
      <c r="L41" s="81" t="inlineStr">
        <is>
          <t>Cluster Parameter Optimization Record &amp; Delta Script</t>
        </is>
      </c>
    </row>
    <row r="42" ht="45" customHeight="1">
      <c r="A42" s="80" t="inlineStr">
        <is>
          <t>RNO-03</t>
        </is>
      </c>
      <c r="B42" s="81" t="inlineStr">
        <is>
          <t>Cluster Acceptance KPI Validation &amp; Final Sign-Off</t>
        </is>
      </c>
      <c r="C42" s="81" t="inlineStr">
        <is>
          <t>Post-tuning verification drive test and OSS 14-day statistical performance audit: validating cluster Radio Availability &gt;= 99.95%, Session Setup Success Rate (CSSR) &gt;= 99.60%, Session Drop Rate (CDDR) &lt;= 0.15%, cluster average DL throughput &gt;= 450 Mbps, cell-edge DL &gt;= 50 Mbps; and submission of formal Cluster Acceptance Dossier.
• Inclusions: Verification drive test, 14-day OSS KPI statistical audit, benchmark reporting, formal sign-off.
• Exclusions: Ongoing post-commercial operations optimization (covered under Lot 6 Managed Services).</t>
        </is>
      </c>
      <c r="D42" s="80" t="inlineStr">
        <is>
          <t>Per Cluster (65 Clusters Phase 1 / 325 Clusters Program)</t>
        </is>
      </c>
      <c r="E42" s="82" t="n">
        <v>65</v>
      </c>
      <c r="F42" s="82" t="n">
        <v>325</v>
      </c>
      <c r="G42" s="83" t="n"/>
      <c r="H42" s="84">
        <f>G42*55</f>
        <v/>
      </c>
      <c r="I42" s="85">
        <f>E42*G42</f>
        <v/>
      </c>
      <c r="J42" s="85">
        <f>F42*G42</f>
        <v/>
      </c>
      <c r="K42" s="81" t="inlineStr">
        <is>
          <t>100% upon formal sign-off of Cluster Acceptance Certificate.</t>
        </is>
      </c>
      <c r="L42" s="81" t="inlineStr">
        <is>
          <t>Approved Cluster Acceptance Certificate &amp; 14-Day KPI Audit Report</t>
        </is>
      </c>
    </row>
    <row r="43" ht="22" customHeight="1">
      <c r="A43" s="78" t="inlineStr">
        <is>
          <t>DOMAIN: OPERATIONS &amp; MAINTENANCE (O&amp;M) / MANAGED SERVICES</t>
        </is>
      </c>
      <c r="B43" s="79" t="n"/>
      <c r="C43" s="79" t="n"/>
      <c r="D43" s="79" t="n"/>
      <c r="E43" s="79" t="n"/>
      <c r="F43" s="79" t="n"/>
      <c r="G43" s="79" t="n"/>
      <c r="H43" s="79" t="n"/>
      <c r="I43" s="79" t="n"/>
      <c r="J43" s="79" t="n"/>
      <c r="K43" s="79" t="n"/>
      <c r="L43" s="79" t="n"/>
    </row>
    <row r="44" ht="45" customHeight="1">
      <c r="A44" s="80" t="inlineStr">
        <is>
          <t>MS-NOC-01</t>
        </is>
      </c>
      <c r="B44" s="81" t="inlineStr">
        <is>
          <t>24/7/365 Central NOC Tier-1 Active Surveillance &amp; Alarm Monitoring</t>
        </is>
      </c>
      <c r="C44" s="81" t="inlineStr">
        <is>
          <t>Continuous 24/7/365 active monitoring of all active and passive network elements across RAN, Core, Power, and Transmission; automated alarm correlation and noise suppression; ticket logging within 5 minutes of alarm onset; and issuance of Daily Operational Flash Report at 06:00 PHT.
• Inclusions: 24/7 Tier-1 NOC staffing, automated correlation, trouble ticket creation, daily flash reporting.
• Exclusions: Third-party commercial power utility outages outside contractor control (tracked as excusable SLA).</t>
        </is>
      </c>
      <c r="D44" s="80" t="inlineStr">
        <is>
          <t>Per Site / Month</t>
        </is>
      </c>
      <c r="E44" s="82" t="n">
        <v>1000</v>
      </c>
      <c r="F44" s="82" t="n">
        <v>5000</v>
      </c>
      <c r="G44" s="83" t="n"/>
      <c r="H44" s="84">
        <f>G44*55</f>
        <v/>
      </c>
      <c r="I44" s="85">
        <f>E44*G44</f>
        <v/>
      </c>
      <c r="J44" s="85">
        <f>F44*G44</f>
        <v/>
      </c>
      <c r="K44" s="81" t="inlineStr">
        <is>
          <t>Monthly in arrears upon SLA performance certification.</t>
        </is>
      </c>
      <c r="L44" s="81" t="inlineStr">
        <is>
          <t>Daily Flash Reports, Monthly NOC Surveillance Dossier &amp; Availability Report</t>
        </is>
      </c>
    </row>
    <row r="45" ht="45" customHeight="1">
      <c r="A45" s="80" t="inlineStr">
        <is>
          <t>MS-NOC-02</t>
        </is>
      </c>
      <c r="B45" s="81" t="inlineStr">
        <is>
          <t>Incident Management, Triage &amp; Automated Trouble Ticketing</t>
        </is>
      </c>
      <c r="C45" s="81" t="inlineStr">
        <is>
          <t>End-to-end incident management: automated ticketing via OSS/ITSM; severity classification (Sev 1 Critical to Sev 4 Warning); technician dispatch initiation within 15 minutes for Sev 1 incidents; bridge coordination; and stakeholder notification.
• Inclusions: ITSM platform, ticket lifecycle tracking, escalation dispatch, MTTR SLA auditing.
• Exclusions: Operator customer service call center operations (BSS scope).</t>
        </is>
      </c>
      <c r="D45" s="80" t="inlineStr">
        <is>
          <t>Per Site / Month</t>
        </is>
      </c>
      <c r="E45" s="82" t="n">
        <v>1000</v>
      </c>
      <c r="F45" s="82" t="n">
        <v>5000</v>
      </c>
      <c r="G45" s="83" t="n"/>
      <c r="H45" s="84">
        <f>G45*55</f>
        <v/>
      </c>
      <c r="I45" s="85">
        <f>E45*G45</f>
        <v/>
      </c>
      <c r="J45" s="85">
        <f>F45*G45</f>
        <v/>
      </c>
      <c r="K45" s="81" t="inlineStr">
        <is>
          <t>Monthly in arrears.</t>
        </is>
      </c>
      <c r="L45" s="81" t="inlineStr">
        <is>
          <t>Monthly Trouble Ticket Log, MTTR Audit &amp; Dispatch Statistics</t>
        </is>
      </c>
    </row>
    <row r="46" ht="45" customHeight="1">
      <c r="A46" s="80" t="inlineStr">
        <is>
          <t>MS-NOC-03</t>
        </is>
      </c>
      <c r="B46" s="81" t="inlineStr">
        <is>
          <t>Tier-2 Remote Technical Diagnostics, Fault Recovery &amp; Config Management</t>
        </is>
      </c>
      <c r="C46" s="81" t="inlineStr">
        <is>
          <t>24/7 remote engineering support: soft and hard resets, remote diagnostic sweeps, card re-initialization, backup configuration restoration, transmission routing failover, and software rollback to clear network faults without field truck rolls.
• Inclusions: Tier-2 remote engineers, remote script execution, transmission path failover, config restoration.
• Exclusions: Physical on-site hardware replacement (covered under FLM).</t>
        </is>
      </c>
      <c r="D46" s="80" t="inlineStr">
        <is>
          <t>Per Site / Month</t>
        </is>
      </c>
      <c r="E46" s="82" t="n">
        <v>1000</v>
      </c>
      <c r="F46" s="82" t="n">
        <v>5000</v>
      </c>
      <c r="G46" s="83" t="n"/>
      <c r="H46" s="84">
        <f>G46*55</f>
        <v/>
      </c>
      <c r="I46" s="85">
        <f>E46*G46</f>
        <v/>
      </c>
      <c r="J46" s="85">
        <f>F46*G46</f>
        <v/>
      </c>
      <c r="K46" s="81" t="inlineStr">
        <is>
          <t>Monthly in arrears.</t>
        </is>
      </c>
      <c r="L46" s="81" t="inlineStr">
        <is>
          <t>Remote Fault Resolution Log &amp; Configuration Change Audit</t>
        </is>
      </c>
    </row>
    <row r="47" ht="45" customHeight="1">
      <c r="A47" s="80" t="inlineStr">
        <is>
          <t>MS-NOC-04</t>
        </is>
      </c>
      <c r="B47" s="81" t="inlineStr">
        <is>
          <t>Tier-3 Engineering Escalation &amp; OEM TAC Management</t>
        </is>
      </c>
      <c r="C47" s="81" t="inlineStr">
        <is>
          <t>Advanced engineering escalation for complex system bugs, protocol crashes, and persistent hardware/software anomalies: case logging with OEM TAC (Level 3), trace log collection, bug patch testing, software patch deployment, and Root Cause Analysis (RCA) reporting within 24 hours of major incident restoration.
• Inclusions: OEM TAC case management, trace capture, patch verification, RCA report compilation.
• Exclusions: OEM base software annual license royalties (governed under Software AMC).</t>
        </is>
      </c>
      <c r="D47" s="80" t="inlineStr">
        <is>
          <t>Per Site / Month</t>
        </is>
      </c>
      <c r="E47" s="82" t="n">
        <v>1000</v>
      </c>
      <c r="F47" s="82" t="n">
        <v>5000</v>
      </c>
      <c r="G47" s="83" t="n"/>
      <c r="H47" s="84">
        <f>G47*55</f>
        <v/>
      </c>
      <c r="I47" s="85">
        <f>E47*G47</f>
        <v/>
      </c>
      <c r="J47" s="85">
        <f>F47*G47</f>
        <v/>
      </c>
      <c r="K47" s="81" t="inlineStr">
        <is>
          <t>Monthly in arrears.</t>
        </is>
      </c>
      <c r="L47" s="81" t="inlineStr">
        <is>
          <t>Formal Root Cause Analysis (RCA) Reports &amp; OEM TAC Case Log</t>
        </is>
      </c>
    </row>
    <row r="48" ht="45" customHeight="1">
      <c r="A48" s="80" t="inlineStr">
        <is>
          <t>MS-FLM-01</t>
        </is>
      </c>
      <c r="B48" s="81" t="inlineStr">
        <is>
          <t>24/7 Field First Line Maintenance (FLM) Emergency Response</t>
        </is>
      </c>
      <c r="C48" s="81" t="inlineStr">
        <is>
          <t>Provision of dedicated, nationwide 24/7 mobile field maintenance crews equipped with 4x4 vehicles, complete safety gear, calibrated test instruments, and emergency restoration tools. Strict compliance with mandated MTTR SLAs: Severity 1 (Critical - Site Outage): Response &lt;= 15 mins, MTTR &lt;= 2.0h (Urban) / &lt;= 4.0h (Rural); Severity 2 (Major - Sector Down / Power Degraded): Response &lt;= 30 mins, MTTR &lt;= 4.0h (Urban) / &lt;= 6.0h (Rural); Severity 3 (Minor - Non-Service Affecting): Response &lt;= 1h, MTTR &lt;= 12.0h (Urban) / &lt;= 24.0h (Rural); Severity 4 (Warning / Planned): Response &lt;= 4h, MTTR &lt;= 48.0h (Urban) / &lt;= 72.0h (Rural).
• Inclusions: Dedicated 24/7 crews, 4x4 maintenance vehicles, tools, fuel, emergency call-outs.
• Exclusions: Force majeure acts of God (typhoon damage recovery governed under Call-Out Rate Card).</t>
        </is>
      </c>
      <c r="D48" s="80" t="inlineStr">
        <is>
          <t>Per Site / Month</t>
        </is>
      </c>
      <c r="E48" s="82" t="n">
        <v>1000</v>
      </c>
      <c r="F48" s="82" t="n">
        <v>5000</v>
      </c>
      <c r="G48" s="83" t="n"/>
      <c r="H48" s="84">
        <f>G48*55</f>
        <v/>
      </c>
      <c r="I48" s="85">
        <f>E48*G48</f>
        <v/>
      </c>
      <c r="J48" s="85">
        <f>F48*G48</f>
        <v/>
      </c>
      <c r="K48" s="81" t="inlineStr">
        <is>
          <t>Monthly in arrears, subject to SLA service credit adjustments.</t>
        </is>
      </c>
      <c r="L48" s="81" t="inlineStr">
        <is>
          <t>Monthly FLM Incident Log, Restoration Work Orders &amp; MTTR SLA Report</t>
        </is>
      </c>
    </row>
    <row r="49" ht="45" customHeight="1">
      <c r="A49" s="80" t="inlineStr">
        <is>
          <t>MS-FLM-02</t>
        </is>
      </c>
      <c r="B49" s="81" t="inlineStr">
        <is>
          <t>Active Telecom Hardware Replacement &amp; Field Swapping</t>
        </is>
      </c>
      <c r="C49" s="81" t="inlineStr">
        <is>
          <t>On-site replacement of damaged or defective active telecom hardware: RRUs, BBUs, baseband processing cards, optical SFP transceivers, RF jumpers, and GPS antennas, utilizing pre-staged regional spare parts float to achieve fast-track MTTR restoration.
• Inclusions: Technician labor, de-installation, replacement installation, power-up test, return voucher.
• Exclusions: Cost of out-of-warranty hardware destruction caused by third-party vandalism.</t>
        </is>
      </c>
      <c r="D49" s="80" t="inlineStr">
        <is>
          <t>Included in FLM Monthly Retainer / Per Site-Month</t>
        </is>
      </c>
      <c r="E49" s="82" t="n">
        <v>1000</v>
      </c>
      <c r="F49" s="82" t="n">
        <v>5000</v>
      </c>
      <c r="G49" s="83" t="n"/>
      <c r="H49" s="84">
        <f>G49*55</f>
        <v/>
      </c>
      <c r="I49" s="85">
        <f>E49*G49</f>
        <v/>
      </c>
      <c r="J49" s="85">
        <f>F49*G49</f>
        <v/>
      </c>
      <c r="K49" s="81" t="inlineStr">
        <is>
          <t>Monthly in arrears.</t>
        </is>
      </c>
      <c r="L49" s="81" t="inlineStr">
        <is>
          <t>Hardware Replacement Slip &amp; Defective Unit Return Voucher</t>
        </is>
      </c>
    </row>
    <row r="50" ht="45" customHeight="1">
      <c r="A50" s="80" t="inlineStr">
        <is>
          <t>MS-FLM-03</t>
        </is>
      </c>
      <c r="B50" s="81" t="inlineStr">
        <is>
          <t>Passive Power &amp; Infrastructure Emergency Restoration</t>
        </is>
      </c>
      <c r="C50" s="81" t="inlineStr">
        <is>
          <t>Rapid restoration of passive site elements: resetting/replacing tripped DC distribution breakers, rectifying rectifier module faults, clearing battery management system (BMS) lockouts, replacing blown AC/DC surge protection devices (SPDs), and diagnosing automatic transfer switch (ATS) failures.
• Inclusions: Electrical diagnosis, breaker reset/replacement, SPD swapping, BMS diagnostic clearing.
• Exclusions: Replacement of entire battery bank destroyed by external flood (insurance scope).</t>
        </is>
      </c>
      <c r="D50" s="80" t="inlineStr">
        <is>
          <t>Included in FLM Monthly Retainer / Per Site-Month</t>
        </is>
      </c>
      <c r="E50" s="82" t="n">
        <v>1000</v>
      </c>
      <c r="F50" s="82" t="n">
        <v>5000</v>
      </c>
      <c r="G50" s="83" t="n"/>
      <c r="H50" s="84">
        <f>G50*55</f>
        <v/>
      </c>
      <c r="I50" s="85">
        <f>E50*G50</f>
        <v/>
      </c>
      <c r="J50" s="85">
        <f>F50*G50</f>
        <v/>
      </c>
      <c r="K50" s="81" t="inlineStr">
        <is>
          <t>Monthly in arrears.</t>
        </is>
      </c>
      <c r="L50" s="81" t="inlineStr">
        <is>
          <t>Passive Infrastructure Restoration Work Order</t>
        </is>
      </c>
    </row>
    <row r="51" ht="45" customHeight="1">
      <c r="A51" s="80" t="inlineStr">
        <is>
          <t>MS-FLM-04</t>
        </is>
      </c>
      <c r="B51" s="81" t="inlineStr">
        <is>
          <t>Emergency Fiber Backhaul Splicing &amp; Optical Link Restoration</t>
        </is>
      </c>
      <c r="C51" s="81" t="inlineStr">
        <is>
          <t>Emergency mobilization for fiber transmission outages: OTDR optical fault localization, optical cable drop replacement, mechanical or fusion splicing, and optical splice enclosure re-sealing to restore backhaul transport within mandated MTTR.
• Inclusions: OTDR fault tracing, fusion splicing labor, splice enclosure resealing, link test.
• Exclusions: Major fiber spans exceeding 500 meters (governed by Call-Out Rate Card).</t>
        </is>
      </c>
      <c r="D51" s="80" t="inlineStr">
        <is>
          <t>Included in FLM Monthly Retainer / Per Site-Month</t>
        </is>
      </c>
      <c r="E51" s="82" t="n">
        <v>1000</v>
      </c>
      <c r="F51" s="82" t="n">
        <v>5000</v>
      </c>
      <c r="G51" s="83" t="n"/>
      <c r="H51" s="84">
        <f>G51*55</f>
        <v/>
      </c>
      <c r="I51" s="85">
        <f>E51*G51</f>
        <v/>
      </c>
      <c r="J51" s="85">
        <f>F51*G51</f>
        <v/>
      </c>
      <c r="K51" s="81" t="inlineStr">
        <is>
          <t>Monthly in arrears.</t>
        </is>
      </c>
      <c r="L51" s="81" t="inlineStr">
        <is>
          <t>Optical OTDR Trace Report &amp; Splicing Restoration Certificate</t>
        </is>
      </c>
    </row>
    <row r="52" ht="45" customHeight="1">
      <c r="A52" s="80" t="inlineStr">
        <is>
          <t>MS-PM-01</t>
        </is>
      </c>
      <c r="B52" s="81" t="inlineStr">
        <is>
          <t>Quarterly Telecom Equipment Preventive Maintenance (Module A)</t>
        </is>
      </c>
      <c r="C52" s="81" t="inlineStr">
        <is>
          <t>Execution of 100% quarterly routine telecom PM: visual inspection of BBU/RRU chassis, optical fiber connector cleaning and inspection, RF jumper weatherproofing boot inspection, cable clamp torque verification, optical SFP power level verification, and dust filter cleaning.
• Inclusions: Quarterly on-site inspection, connector cleaning, weatherproofing audit, SFP level audit, PM report.
• Exclusions: Major equipment overhaul.</t>
        </is>
      </c>
      <c r="D52" s="80" t="inlineStr">
        <is>
          <t>Per Site / Quarter (or Monthly share)</t>
        </is>
      </c>
      <c r="E52" s="82" t="n">
        <v>1000</v>
      </c>
      <c r="F52" s="82" t="n">
        <v>5000</v>
      </c>
      <c r="G52" s="83" t="n"/>
      <c r="H52" s="84">
        <f>G52*55</f>
        <v/>
      </c>
      <c r="I52" s="85">
        <f>E52*G52</f>
        <v/>
      </c>
      <c r="J52" s="85">
        <f>F52*G52</f>
        <v/>
      </c>
      <c r="K52" s="81" t="inlineStr">
        <is>
          <t>Quarterly upon submission of 100% PM checklists and mobile audit photos.</t>
        </is>
      </c>
      <c r="L52" s="81" t="inlineStr">
        <is>
          <t>Quarterly Telecom PM Report &amp; Mobile App Timestamped Audit Dossier</t>
        </is>
      </c>
    </row>
    <row r="53" ht="45" customHeight="1">
      <c r="A53" s="80" t="inlineStr">
        <is>
          <t>MS-PM-02</t>
        </is>
      </c>
      <c r="B53" s="81" t="inlineStr">
        <is>
          <t>Quarterly DC Power &amp; LiFePO4 Battery PM (Module B)</t>
        </is>
      </c>
      <c r="C53" s="81" t="inlineStr">
        <is>
          <t>Comprehensive quarterly electrical PM: rectifier module load sharing verification, DC output float/equalize voltage calibration, terminal screw torque verification, LiFePO4 battery BMS diagnostic sweep, cell voltage and internal resistance measurement, and 1-hour controlled battery discharge autonomy test under load.
• Inclusions: Rectifier calibration, BMS diagnostic sweep, internal resistance test, 1-hour load test.
• Exclusions: Battery module replacement (handled under RMA / Spares float).</t>
        </is>
      </c>
      <c r="D53" s="80" t="inlineStr">
        <is>
          <t>Per Site / Quarter</t>
        </is>
      </c>
      <c r="E53" s="82" t="n">
        <v>1000</v>
      </c>
      <c r="F53" s="82" t="n">
        <v>5000</v>
      </c>
      <c r="G53" s="83" t="n"/>
      <c r="H53" s="84">
        <f>G53*55</f>
        <v/>
      </c>
      <c r="I53" s="85">
        <f>E53*G53</f>
        <v/>
      </c>
      <c r="J53" s="85">
        <f>F53*G53</f>
        <v/>
      </c>
      <c r="K53" s="81" t="inlineStr">
        <is>
          <t>Quarterly upon submission of Battery Health Dossier.</t>
        </is>
      </c>
      <c r="L53" s="81" t="inlineStr">
        <is>
          <t>DC Power &amp; Battery PM Audit Report + Cell Health Telemetry</t>
        </is>
      </c>
    </row>
    <row r="54" ht="45" customHeight="1">
      <c r="A54" s="80" t="inlineStr">
        <is>
          <t>MS-PM-03</t>
        </is>
      </c>
      <c r="B54" s="81" t="inlineStr">
        <is>
          <t>Quarterly Earth Grounding &amp; Lightning Protection Audit (Module C)</t>
        </is>
      </c>
      <c r="C54" s="81" t="inlineStr">
        <is>
          <t>Precision ground resistance audit using 3-point fall-of-potential test instrument (confirming earth ground resistance &lt;= 5.0 Ohms); Cadweld connection inspection; copper busbar bolt torque check; corrosion audit; and inspection of air terminals, down-conductors, and surge arresters.
• Inclusions: 3-point fall-of-potential test, Cadweld check, busbar torque check, lightning arrester audit.
• Exclusions: Civil construction of new ground ring (if soil conditions deteriorate; governed by civil rate card).</t>
        </is>
      </c>
      <c r="D54" s="80" t="inlineStr">
        <is>
          <t>Per Site / Quarter</t>
        </is>
      </c>
      <c r="E54" s="82" t="n">
        <v>1000</v>
      </c>
      <c r="F54" s="82" t="n">
        <v>5000</v>
      </c>
      <c r="G54" s="83" t="n"/>
      <c r="H54" s="84">
        <f>G54*55</f>
        <v/>
      </c>
      <c r="I54" s="85">
        <f>E54*G54</f>
        <v/>
      </c>
      <c r="J54" s="85">
        <f>F54*G54</f>
        <v/>
      </c>
      <c r="K54" s="81" t="inlineStr">
        <is>
          <t>Quarterly upon submission of Grounding Audit Report.</t>
        </is>
      </c>
      <c r="L54" s="81" t="inlineStr">
        <is>
          <t>Earth Ground Resistance Test Certificate with Instrument Calibration Tag</t>
        </is>
      </c>
    </row>
    <row r="55" ht="45" customHeight="1">
      <c r="A55" s="80" t="inlineStr">
        <is>
          <t>MS-PM-04</t>
        </is>
      </c>
      <c r="B55" s="81" t="inlineStr">
        <is>
          <t>Bi-Annual Tower Structure, Rigging &amp; Aviation Light Audit (Module D)</t>
        </is>
      </c>
      <c r="C55" s="81" t="inlineStr">
        <is>
          <t>Specialized climbing inspection conducted twice per year: physical inspection of tower steel members, monopole climbing ladder, fall arrest cable, AMB mounting bracket bolt torque verification, antenna azimuth/tilt physical check, cable ladder clamping check, and inspection of CAAP-compliant aviation obstruction light and photocell controller.
• Inclusions: Certified climbing riggers, structural member inspection, bolt torque audit, CAAP light audit.
• Exclusions: Tower painting / rust rehabilitation (governed under civil facility maintenance).</t>
        </is>
      </c>
      <c r="D55" s="80" t="inlineStr">
        <is>
          <t>Per Site / Semi-Annual</t>
        </is>
      </c>
      <c r="E55" s="82" t="n">
        <v>1000</v>
      </c>
      <c r="F55" s="82" t="n">
        <v>5000</v>
      </c>
      <c r="G55" s="83" t="n"/>
      <c r="H55" s="84">
        <f>G55*55</f>
        <v/>
      </c>
      <c r="I55" s="85">
        <f>E55*G55</f>
        <v/>
      </c>
      <c r="J55" s="85">
        <f>F55*G55</f>
        <v/>
      </c>
      <c r="K55" s="81" t="inlineStr">
        <is>
          <t>Semi-annually upon submission of Tower Rigging Audit Report.</t>
        </is>
      </c>
      <c r="L55" s="81" t="inlineStr">
        <is>
          <t>Bi-Annual Tower Climbing &amp; Rigging Audit Report + High-Res Photos</t>
        </is>
      </c>
    </row>
    <row r="56" ht="45" customHeight="1">
      <c r="A56" s="80" t="inlineStr">
        <is>
          <t>MS-PM-05</t>
        </is>
      </c>
      <c r="B56" s="81" t="inlineStr">
        <is>
          <t>Quarterly Site Compound, Civil &amp; Environmental Upkeep (Module E)</t>
        </is>
      </c>
      <c r="C56" s="81" t="inlineStr">
        <is>
          <t>Routine civil compound maintenance: inspection and repair of chain-link perimeter fencing and barbed wire; greasing and servicing gate locking mechanisms; weed cutting, vegetation clearance, and chemical weed-killing within a 3-meter perimeter of compound; drainage channel clearing; and pest/rodent proofing of equipment cabinet cable entries.
• Inclusions: Compound weeding, perimeter clearing, fence repair, lock lubrication, cable entry pest sealing.
• Exclusions: Major civil perimeter wall re-construction post-landslide.</t>
        </is>
      </c>
      <c r="D56" s="80" t="inlineStr">
        <is>
          <t>Per Site / Quarter</t>
        </is>
      </c>
      <c r="E56" s="82" t="n">
        <v>1000</v>
      </c>
      <c r="F56" s="82" t="n">
        <v>5000</v>
      </c>
      <c r="G56" s="83" t="n"/>
      <c r="H56" s="84">
        <f>G56*55</f>
        <v/>
      </c>
      <c r="I56" s="85">
        <f>E56*G56</f>
        <v/>
      </c>
      <c r="J56" s="85">
        <f>F56*G56</f>
        <v/>
      </c>
      <c r="K56" s="81" t="inlineStr">
        <is>
          <t>Quarterly upon compound inspection sign-off.</t>
        </is>
      </c>
      <c r="L56" s="81" t="inlineStr">
        <is>
          <t>Compound Upkeep Audit Checklist &amp; Before/After Photos</t>
        </is>
      </c>
    </row>
    <row r="57" ht="45" customHeight="1">
      <c r="A57" s="80" t="inlineStr">
        <is>
          <t>MS-SPM-01</t>
        </is>
      </c>
      <c r="B57" s="81" t="inlineStr">
        <is>
          <t>Regional Spare Parts Buffer Float Management (SPMS)</t>
        </is>
      </c>
      <c r="C57" s="81" t="inlineStr">
        <is>
          <t>Operation of climate-controlled, secure regional spare parts depots (Mega Manila, North Luzon, South Luzon, Visayas, Mindanao); managing and maintaining an agreed 2.0% active hardware spares float (BBUs, RRUs, SFPs, rectifiers, batteries, cables); tracking serial numbers via WMS; and conducting monthly physical cycle counts.
• Inclusions: Regional storage depots, inventory management, serialized tracking, monthly cycle counts.
• Exclusions: Procurement of additional replacement spares beyond contractual float (Operator capex).</t>
        </is>
      </c>
      <c r="D57" s="80" t="inlineStr">
        <is>
          <t>Per Site / Month</t>
        </is>
      </c>
      <c r="E57" s="82" t="n">
        <v>1000</v>
      </c>
      <c r="F57" s="82" t="n">
        <v>5000</v>
      </c>
      <c r="G57" s="83" t="n"/>
      <c r="H57" s="84">
        <f>G57*55</f>
        <v/>
      </c>
      <c r="I57" s="85">
        <f>E57*G57</f>
        <v/>
      </c>
      <c r="J57" s="85">
        <f>F57*G57</f>
        <v/>
      </c>
      <c r="K57" s="81" t="inlineStr">
        <is>
          <t>Monthly in arrears.</t>
        </is>
      </c>
      <c r="L57" s="81" t="inlineStr">
        <is>
          <t>Monthly Spare Parts Float Status Report &amp; Cycle Count Audit</t>
        </is>
      </c>
    </row>
    <row r="58" ht="45" customHeight="1">
      <c r="A58" s="80" t="inlineStr">
        <is>
          <t>MS-SPM-02</t>
        </is>
      </c>
      <c r="B58" s="81" t="inlineStr">
        <is>
          <t>Advance Hardware Replacement (AHR) &amp; Expedited Field Delivery</t>
        </is>
      </c>
      <c r="C58" s="81" t="inlineStr">
        <is>
          <t>Rapid logistics dispatch delivering replacement hardware to field maintenance crews: Next-Business-Day (NBD) standard delivery nationwide, or expedited 4-hour emergency delivery for major macro hubs and critical transmission nodes.
• Inclusions: Expedited dispatch, emergency courier, chain of custody documentation, field delivery receipt.
• Exclusions: Standard scheduled routine replenishment.</t>
        </is>
      </c>
      <c r="D58" s="80" t="inlineStr">
        <is>
          <t>Included in SPM Retainer / Per Site-Month</t>
        </is>
      </c>
      <c r="E58" s="82" t="n">
        <v>1000</v>
      </c>
      <c r="F58" s="82" t="n">
        <v>5000</v>
      </c>
      <c r="G58" s="83" t="n"/>
      <c r="H58" s="84">
        <f>G58*55</f>
        <v/>
      </c>
      <c r="I58" s="85">
        <f>E58*G58</f>
        <v/>
      </c>
      <c r="J58" s="85">
        <f>F58*G58</f>
        <v/>
      </c>
      <c r="K58" s="81" t="inlineStr">
        <is>
          <t>Monthly in arrears.</t>
        </is>
      </c>
      <c r="L58" s="81" t="inlineStr">
        <is>
          <t>Hardware Dispatch Manifest &amp; Proof of On-Site Delivery</t>
        </is>
      </c>
    </row>
    <row r="59" ht="45" customHeight="1">
      <c r="A59" s="80" t="inlineStr">
        <is>
          <t>MS-SPM-03</t>
        </is>
      </c>
      <c r="B59" s="81" t="inlineStr">
        <is>
          <t>Return Merchandise Authorization (RMA) &amp; OEM Factory Repair Logistics</t>
        </is>
      </c>
      <c r="C59" s="81" t="inlineStr">
        <is>
          <t>Managing the reverse logistics lifecycle for defective hardware: retrieving faulty units from field crews, conducting triage, generating RMA requests, managing packaging and export/import customs for OEM repair/replacement, tracking turnaround time (TAT &lt;= 30 calendar days), and returning repaired units to the regional buffer float.
• Inclusions: Defective unit triage, RMA processing, shipping to OEM repair facility, tracking, customs clearance.
• Exclusions: Out-of-warranty OEM repair billing charges (passed through at actual OEM repair cost).</t>
        </is>
      </c>
      <c r="D59" s="80" t="inlineStr">
        <is>
          <t>Included in SPM Retainer / Per Site-Month</t>
        </is>
      </c>
      <c r="E59" s="82" t="n">
        <v>1000</v>
      </c>
      <c r="F59" s="82" t="n">
        <v>5000</v>
      </c>
      <c r="G59" s="83" t="n"/>
      <c r="H59" s="84">
        <f>G59*55</f>
        <v/>
      </c>
      <c r="I59" s="85">
        <f>E59*G59</f>
        <v/>
      </c>
      <c r="J59" s="85">
        <f>F59*G59</f>
        <v/>
      </c>
      <c r="K59" s="81" t="inlineStr">
        <is>
          <t>Monthly in arrears.</t>
        </is>
      </c>
      <c r="L59" s="81" t="inlineStr">
        <is>
          <t>RMA Lifecycle Tracking Dossier &amp; OEM Repair Turnaround Log</t>
        </is>
      </c>
    </row>
    <row r="60" ht="45" customHeight="1">
      <c r="A60" s="80" t="inlineStr">
        <is>
          <t>MS-RNO-01</t>
        </is>
      </c>
      <c r="B60" s="81" t="inlineStr">
        <is>
          <t>Continuous Radio Network Optimization &amp; Weekly KPI Surveillance</t>
        </is>
      </c>
      <c r="C60" s="81" t="inlineStr">
        <is>
          <t>Ongoing network-wide RF quality surveillance: daily and weekly statistical KPI tracking (Radio Availability, CSSR, CDDR, average throughput, PRB utilization, cell-edge speeds); identification and root-cause analysis of Worst Performing Cells (WPC); dynamic parameter fine-tuning; and weekly optimization meetings.
• Inclusions: Dedicated RF optimization engineers, weekly WPC triage, parameter tuning scripts, KPI governance.
• Exclusions: Major network replanning requiring addition of new cell sites (expansion capex).</t>
        </is>
      </c>
      <c r="D60" s="80" t="inlineStr">
        <is>
          <t>Per Site / Month</t>
        </is>
      </c>
      <c r="E60" s="82" t="n">
        <v>1000</v>
      </c>
      <c r="F60" s="82" t="n">
        <v>5000</v>
      </c>
      <c r="G60" s="83" t="n"/>
      <c r="H60" s="84">
        <f>G60*55</f>
        <v/>
      </c>
      <c r="I60" s="85">
        <f>E60*G60</f>
        <v/>
      </c>
      <c r="J60" s="85">
        <f>F60*G60</f>
        <v/>
      </c>
      <c r="K60" s="81" t="inlineStr">
        <is>
          <t>Monthly in arrears.</t>
        </is>
      </c>
      <c r="L60" s="81" t="inlineStr">
        <is>
          <t>Weekly Worst Performing Cell (WPC) Report &amp; Monthly Network KPI Dossier</t>
        </is>
      </c>
    </row>
    <row r="61" ht="45" customHeight="1">
      <c r="A61" s="80" t="inlineStr">
        <is>
          <t>MS-RNO-02</t>
        </is>
      </c>
      <c r="B61" s="81" t="inlineStr">
        <is>
          <t>Interference Hunting, PIM Mitigation &amp; Customer Complaint Field Audit</t>
        </is>
      </c>
      <c r="C61" s="81" t="inlineStr">
        <is>
          <t>Field RF investigation for degraded sectors: spectrum analyzer sweeps to detect and locate external interference sources (jamming, unauthorized boosters, microwave leakage); Passive Intermodulation (PIM) testing and remediation on antenna lines; and on-site drive validation for VIP or high-churn barangay clusters.
• Inclusions: Spectrum analyzer field sweeps, PIM testing, interference source triangulation, customer complaint verification.
• Exclusions: Legal action against illegal booster operators (handled by NTC / Operator Legal).</t>
        </is>
      </c>
      <c r="D61" s="80" t="inlineStr">
        <is>
          <t>Per Site / Month</t>
        </is>
      </c>
      <c r="E61" s="82" t="n">
        <v>1000</v>
      </c>
      <c r="F61" s="82" t="n">
        <v>5000</v>
      </c>
      <c r="G61" s="83" t="n"/>
      <c r="H61" s="84">
        <f>G61*55</f>
        <v/>
      </c>
      <c r="I61" s="85">
        <f>E61*G61</f>
        <v/>
      </c>
      <c r="J61" s="85">
        <f>F61*G61</f>
        <v/>
      </c>
      <c r="K61" s="81" t="inlineStr">
        <is>
          <t>Monthly in arrears.</t>
        </is>
      </c>
      <c r="L61" s="81" t="inlineStr">
        <is>
          <t>Interference Investigation Dossier &amp; Spectrum Sweep Traces</t>
        </is>
      </c>
    </row>
    <row r="62" ht="45" customHeight="1">
      <c r="A62" s="80" t="inlineStr">
        <is>
          <t>MS-FAC-01</t>
        </is>
      </c>
      <c r="B62" s="81" t="inlineStr">
        <is>
          <t>Passive Tower &amp; Civil Facility Maintenance</t>
        </is>
      </c>
      <c r="C62" s="81" t="inlineStr">
        <is>
          <t>Structural preservation of passive site assets: rust scraping, cold galvanizing compound application, and repainting of steel members in corrosive/coastal environments; repairing cracked equipment plinths; re-caulking cable entry boots; and maintaining access road drainage and clear-way.
• Inclusions: Anti-corrosion touch-up, cold galvanizing, plinth crack sealing, cable entry maintenance.
• Exclusions: Full tower structural re-erection post-catastrophic failure.</t>
        </is>
      </c>
      <c r="D62" s="80" t="inlineStr">
        <is>
          <t>Per Site / Month</t>
        </is>
      </c>
      <c r="E62" s="82" t="n">
        <v>1000</v>
      </c>
      <c r="F62" s="82" t="n">
        <v>5000</v>
      </c>
      <c r="G62" s="83" t="n"/>
      <c r="H62" s="84">
        <f>G62*55</f>
        <v/>
      </c>
      <c r="I62" s="85">
        <f>E62*G62</f>
        <v/>
      </c>
      <c r="J62" s="85">
        <f>F62*G62</f>
        <v/>
      </c>
      <c r="K62" s="81" t="inlineStr">
        <is>
          <t>Monthly in arrears.</t>
        </is>
      </c>
      <c r="L62" s="81" t="inlineStr">
        <is>
          <t>Monthly Facility Maintenance Log &amp; Civil Condition Report</t>
        </is>
      </c>
    </row>
    <row r="63" ht="45" customHeight="1">
      <c r="A63" s="80" t="inlineStr">
        <is>
          <t>MS-PWR-01</t>
        </is>
      </c>
      <c r="B63" s="81" t="inlineStr">
        <is>
          <t>Energy, Utility Grid (Meralco/Coop) Coordination &amp; Genset PM</t>
        </is>
      </c>
      <c r="C63" s="81" t="inlineStr">
        <is>
          <t>Power management coordination: monitoring utility power reliability, validating commercial meter readings, coordinating with Meralco/electric cooperatives for transformer fuse restoration, and performing routine 250-hour preventive servicing on backup diesel generator sets (engine oil, oil filter, fuel filter, air cleaner replacement, coolant check).
• Inclusions: Utility outage coordination, meter reading audit, 250-hr generator PM servicing, coolant/filter checks.
• Exclusions: Commercial grid electric utility consumption charges (Operator pays utility bills).</t>
        </is>
      </c>
      <c r="D63" s="80" t="inlineStr">
        <is>
          <t>Per Site / Month</t>
        </is>
      </c>
      <c r="E63" s="82" t="n">
        <v>1000</v>
      </c>
      <c r="F63" s="82" t="n">
        <v>5000</v>
      </c>
      <c r="G63" s="83" t="n"/>
      <c r="H63" s="84">
        <f>G63*55</f>
        <v/>
      </c>
      <c r="I63" s="85">
        <f>E63*G63</f>
        <v/>
      </c>
      <c r="J63" s="85">
        <f>F63*G63</f>
        <v/>
      </c>
      <c r="K63" s="81" t="inlineStr">
        <is>
          <t>Monthly in arrears.</t>
        </is>
      </c>
      <c r="L63" s="81" t="inlineStr">
        <is>
          <t>Monthly Energy Consumption Audit &amp; Genset PM Service Log</t>
        </is>
      </c>
    </row>
    <row r="64" ht="45" customHeight="1">
      <c r="A64" s="80" t="inlineStr">
        <is>
          <t>MS-SW-01</t>
        </is>
      </c>
      <c r="B64" s="81" t="inlineStr">
        <is>
          <t>Software Support, Firmware Patching &amp; Cybersecurity Hardening</t>
        </is>
      </c>
      <c r="C64" s="81" t="inlineStr">
        <is>
          <t>Scheduled execution of software maintenance: applying OEM-approved firmware updates and feature patches during maintenance windows (00:00–05:00); implementing CVE security patches and hardening configs; executing weekly automated BBU and Core configuration backups; and maintaining offsite configuration archives.
• Inclusions: Firmware deployment, CVE security updates, maintenance window execution, automated backups.
• Exclusions: New major software feature releases requiring feature license fee purchase (Lot 1/Lot 3 scope).</t>
        </is>
      </c>
      <c r="D64" s="80" t="inlineStr">
        <is>
          <t>Per Site / Month</t>
        </is>
      </c>
      <c r="E64" s="82" t="n">
        <v>1000</v>
      </c>
      <c r="F64" s="82" t="n">
        <v>5000</v>
      </c>
      <c r="G64" s="83" t="n"/>
      <c r="H64" s="84">
        <f>G64*55</f>
        <v/>
      </c>
      <c r="I64" s="85">
        <f>E64*G64</f>
        <v/>
      </c>
      <c r="J64" s="85">
        <f>F64*G64</f>
        <v/>
      </c>
      <c r="K64" s="81" t="inlineStr">
        <is>
          <t>Monthly in arrears.</t>
        </is>
      </c>
      <c r="L64" s="81" t="inlineStr">
        <is>
          <t>Monthly Patch Deployment Log &amp; Configuration Backup Verification Certificate</t>
        </is>
      </c>
    </row>
    <row r="65" ht="22" customHeight="1">
      <c r="A65" s="78" t="inlineStr">
        <is>
          <t>DOMAIN: AD-HOC CALL-OUT SERVICES RATE CARD</t>
        </is>
      </c>
      <c r="B65" s="79" t="n"/>
      <c r="C65" s="79" t="n"/>
      <c r="D65" s="79" t="n"/>
      <c r="E65" s="79" t="n"/>
      <c r="F65" s="79" t="n"/>
      <c r="G65" s="79" t="n"/>
      <c r="H65" s="79" t="n"/>
      <c r="I65" s="79" t="n"/>
      <c r="J65" s="79" t="n"/>
      <c r="K65" s="79" t="n"/>
      <c r="L65" s="79" t="n"/>
    </row>
    <row r="66" ht="45" customHeight="1">
      <c r="A66" s="80" t="inlineStr">
        <is>
          <t>CALL-01</t>
        </is>
      </c>
      <c r="B66" s="81" t="inlineStr">
        <is>
          <t>Specialized Tower Rigging Call-Out Service</t>
        </is>
      </c>
      <c r="C66" s="81" t="inlineStr">
        <is>
          <t>Ad-hoc mobilization of a certified tower climbing crew to execute non-standard physical antenna modifications: adjusting mechanical tilt, azimuth, or antenna mounting height upon structural reconfiguration or post-typhoon realignment.
• Inclusions: Rigging crew, climbing tackle, digital compass/inclinometer alignment, before/after photos.
• Exclusions: Supply of new replacement antennas.</t>
        </is>
      </c>
      <c r="D66" s="80" t="inlineStr">
        <is>
          <t>Per Sector / Per Man-Day</t>
        </is>
      </c>
      <c r="E66" s="82" t="n">
        <v>100</v>
      </c>
      <c r="F66" s="82" t="n">
        <v>500</v>
      </c>
      <c r="G66" s="83" t="n"/>
      <c r="H66" s="84">
        <f>G66*55</f>
        <v/>
      </c>
      <c r="I66" s="85">
        <f>E66*G66</f>
        <v/>
      </c>
      <c r="J66" s="85">
        <f>F66*G66</f>
        <v/>
      </c>
      <c r="K66" s="81" t="inlineStr">
        <is>
          <t>100% upon completion and photographic verification.</t>
        </is>
      </c>
      <c r="L66" s="81" t="inlineStr">
        <is>
          <t>Rigging Work Order Completion Sheet &amp; Re-alignment Certificate</t>
        </is>
      </c>
    </row>
    <row r="67" ht="45" customHeight="1">
      <c r="A67" s="80" t="inlineStr">
        <is>
          <t>CALL-02</t>
        </is>
      </c>
      <c r="B67" s="81" t="inlineStr">
        <is>
          <t>Emergency Typhoon Disaster Recovery Crew</t>
        </is>
      </c>
      <c r="C67" s="81" t="inlineStr">
        <is>
          <t>Rapid deployment of a specialized 4-man disaster recovery crew equipped with heavy-duty 4x4 vehicle, chainsaws, winches, heavy rigging tackle, and portable generator to clear fallen trees, re-erect toppled poles, and execute emergency structural stabilization post-typhoon.
• Inclusions: 4-man emergency crew, 4x4 vehicle, chainsaw, winch, generator, debris clearing gear.
• Exclusions: Supply of complete replacement steel towers.</t>
        </is>
      </c>
      <c r="D67" s="80" t="inlineStr">
        <is>
          <t>Per Crew / Per Day</t>
        </is>
      </c>
      <c r="E67" s="82" t="n">
        <v>50</v>
      </c>
      <c r="F67" s="82" t="n">
        <v>250</v>
      </c>
      <c r="G67" s="83" t="n"/>
      <c r="H67" s="84">
        <f>G67*55</f>
        <v/>
      </c>
      <c r="I67" s="85">
        <f>E67*G67</f>
        <v/>
      </c>
      <c r="J67" s="85">
        <f>F67*G67</f>
        <v/>
      </c>
      <c r="K67" s="81" t="inlineStr">
        <is>
          <t>100% upon daily crew timesheet approval by Operator.</t>
        </is>
      </c>
      <c r="L67" s="81" t="inlineStr">
        <is>
          <t>Disaster Recovery Timesheet &amp; Field Activity Report</t>
        </is>
      </c>
    </row>
    <row r="68" ht="45" customHeight="1">
      <c r="A68" s="80" t="inlineStr">
        <is>
          <t>CALL-03</t>
        </is>
      </c>
      <c r="B68" s="81" t="inlineStr">
        <is>
          <t>Mobile Emergency Generator Deployment &amp; Continuous Run</t>
        </is>
      </c>
      <c r="C68" s="81" t="inlineStr">
        <is>
          <t>Delivery, positioning, cabling, and commissioning of a mobile trailer-mounted 15–20 kVA diesel generator at a damaged site during extended utility grid blackouts; includes 48 hours of continuous operation, continuous refueling, and operator surveillance.
• Inclusions: Trailer genset delivery, connection cables, 48 hours continuous running, fuel, technician operator.
• Exclusions: Operation beyond 48 hours (billed as consecutive additional 48-hr call-out blocks).</t>
        </is>
      </c>
      <c r="D68" s="80" t="inlineStr">
        <is>
          <t>Per Deployment Event (48-hr block)</t>
        </is>
      </c>
      <c r="E68" s="82" t="n">
        <v>50</v>
      </c>
      <c r="F68" s="82" t="n">
        <v>250</v>
      </c>
      <c r="G68" s="83" t="n"/>
      <c r="H68" s="84">
        <f>G68*55</f>
        <v/>
      </c>
      <c r="I68" s="85">
        <f>E68*G68</f>
        <v/>
      </c>
      <c r="J68" s="85">
        <f>F68*G68</f>
        <v/>
      </c>
      <c r="K68" s="81" t="inlineStr">
        <is>
          <t>100% upon completion of emergency run.</t>
        </is>
      </c>
      <c r="L68" s="81" t="inlineStr">
        <is>
          <t>Emergency Power Log &amp; Generator Run-Hour Telemetry</t>
        </is>
      </c>
    </row>
    <row r="69" ht="45" customHeight="1">
      <c r="A69" s="80" t="inlineStr">
        <is>
          <t>CALL-04</t>
        </is>
      </c>
      <c r="B69" s="81" t="inlineStr">
        <is>
          <t>Long-Span Optical Fiber Cable Restoration &amp; Splicing</t>
        </is>
      </c>
      <c r="C69" s="81" t="inlineStr">
        <is>
          <t>Emergency or planned restoration of major backhaul fiber cable cuts exceeding 500 meters: stringing replacement 24-core armored aerial or underground fiber cable, installing suspension clamps, fusion splicing at both splice closures, and testing optical loss.
• Inclusions: Cable stringing labor, suspension clamps, 2x fusion splice enclosures, OTDR testing.
• Exclusions: Supply of raw fiber optic cable (provided from operator inventory or billed separately).</t>
        </is>
      </c>
      <c r="D69" s="80" t="inlineStr">
        <is>
          <t>Per Meter / Per Span</t>
        </is>
      </c>
      <c r="E69" s="82" t="n">
        <v>10000</v>
      </c>
      <c r="F69" s="82" t="n">
        <v>50000</v>
      </c>
      <c r="G69" s="83" t="n"/>
      <c r="H69" s="84">
        <f>G69*55</f>
        <v/>
      </c>
      <c r="I69" s="85">
        <f>E69*G69</f>
        <v/>
      </c>
      <c r="J69" s="85">
        <f>F69*G69</f>
        <v/>
      </c>
      <c r="K69" s="81" t="inlineStr">
        <is>
          <t>100% upon OTDR bi-directional loss sign-off.</t>
        </is>
      </c>
      <c r="L69" s="81" t="inlineStr">
        <is>
          <t>Bi-Directional OTDR Loss Trace &amp; Splicing Certificate</t>
        </is>
      </c>
    </row>
    <row r="70" ht="45" customHeight="1">
      <c r="A70" s="80" t="inlineStr">
        <is>
          <t>CALL-05</t>
        </is>
      </c>
      <c r="B70" s="81" t="inlineStr">
        <is>
          <t>Drone Structural, Panoramic &amp; Thermal Imaging Survey</t>
        </is>
      </c>
      <c r="C70" s="81" t="inlineStr">
        <is>
          <t>High-resolution aerial inspection utilizing drone equipped with 4K optical zoom and radiometric thermal sensor: auditing tower structural integrity, inspecting hard-to-reach antenna brackets, and detecting hotspot anomalies on power joints and cables.
• Inclusions: Licensed drone pilot, 4K video, high-res photos, radiometric thermal imaging, analysis report.
• Exclusions: Physical repairs to identified anomalies.</t>
        </is>
      </c>
      <c r="D70" s="80" t="inlineStr">
        <is>
          <t>Per Site Flight</t>
        </is>
      </c>
      <c r="E70" s="82" t="n">
        <v>50</v>
      </c>
      <c r="F70" s="82" t="n">
        <v>250</v>
      </c>
      <c r="G70" s="83" t="n"/>
      <c r="H70" s="84">
        <f>G70*55</f>
        <v/>
      </c>
      <c r="I70" s="85">
        <f>E70*G70</f>
        <v/>
      </c>
      <c r="J70" s="85">
        <f>F70*G70</f>
        <v/>
      </c>
      <c r="K70" s="81" t="inlineStr">
        <is>
          <t>100% upon submission of 4K video, photos, and thermal report.</t>
        </is>
      </c>
      <c r="L70" s="81" t="inlineStr">
        <is>
          <t>High-Resolution Aerial Video/Photo Suite &amp; Thermal Analysis Report</t>
        </is>
      </c>
    </row>
    <row r="71" ht="45" customHeight="1">
      <c r="A71" s="80" t="inlineStr">
        <is>
          <t>CALL-06</t>
        </is>
      </c>
      <c r="B71" s="81" t="inlineStr">
        <is>
          <t>Tower Structural Strengthening &amp; Leg Reinforcement</t>
        </is>
      </c>
      <c r="C71" s="81" t="inlineStr">
        <is>
          <t>Physical structural modification of existing tower or monopole: installing steel reinforcement members, flange stiffeners, cross-bracing, or guy wire tensioning based on approved PE structural engineering calculations.
• Inclusions: Steel fabrication, rigging installation, bolt torquing, cold galvanizing, PE sign-off.
• Exclusions: Supply of primary raw steel members (billed based on approved DED BoQ).</t>
        </is>
      </c>
      <c r="D71" s="80" t="inlineStr">
        <is>
          <t>Per Tower / Lump Sum based on DED</t>
        </is>
      </c>
      <c r="E71" s="82" t="n">
        <v>20</v>
      </c>
      <c r="F71" s="82" t="n">
        <v>100</v>
      </c>
      <c r="G71" s="83" t="n"/>
      <c r="H71" s="84">
        <f>G71*55</f>
        <v/>
      </c>
      <c r="I71" s="85">
        <f>E71*G71</f>
        <v/>
      </c>
      <c r="J71" s="85">
        <f>F71*G71</f>
        <v/>
      </c>
      <c r="K71" s="81" t="inlineStr">
        <is>
          <t>50% upon material delivery; 50% upon PE structural sign-off.</t>
        </is>
      </c>
      <c r="L71" s="81" t="inlineStr">
        <is>
          <t>As-Built Structural Strengthening Drawings &amp; PE Endorsement</t>
        </is>
      </c>
    </row>
    <row r="72" ht="45" customHeight="1">
      <c r="A72" s="80" t="inlineStr">
        <is>
          <t>CALL-07</t>
        </is>
      </c>
      <c r="B72" s="81" t="inlineStr">
        <is>
          <t>Specialized PIM Hunting &amp; Multi-Sector Interference Remediation</t>
        </is>
      </c>
      <c r="C72" s="81" t="inlineStr">
        <is>
          <t>Advanced on-site PIM testing utilizing specialized 2x20W PIM analyzer: identifying internal and external PIM sources, replacing corroded RF jumpers/connectors, and applying RF shielding tape/materials to achieve PIM &lt;= -155 dBc.
• Inclusions: Calibrated 2x20W PIM test gear, RF sweep, connector re-termination, shielding materials, sweep report.
• Exclusions: Replacement of damaged antenna internal phase shifters (OEM warranty).</t>
        </is>
      </c>
      <c r="D72" s="80" t="inlineStr">
        <is>
          <t>Per Site / Day</t>
        </is>
      </c>
      <c r="E72" s="82" t="n">
        <v>30</v>
      </c>
      <c r="F72" s="82" t="n">
        <v>150</v>
      </c>
      <c r="G72" s="83" t="n"/>
      <c r="H72" s="84">
        <f>G72*55</f>
        <v/>
      </c>
      <c r="I72" s="85">
        <f>E72*G72</f>
        <v/>
      </c>
      <c r="J72" s="85">
        <f>F72*G72</f>
        <v/>
      </c>
      <c r="K72" s="81" t="inlineStr">
        <is>
          <t>100% upon achieving compliant PIM sweep trace.</t>
        </is>
      </c>
      <c r="L72" s="81" t="inlineStr">
        <is>
          <t>Calibrated PIM Sweep Measurement Report</t>
        </is>
      </c>
    </row>
    <row r="73" ht="45" customHeight="1">
      <c r="A73" s="80" t="inlineStr">
        <is>
          <t>CALL-08</t>
        </is>
      </c>
      <c r="B73" s="81" t="inlineStr">
        <is>
          <t>Ad-Hoc Emergency Fuel Delivery &amp; Mobile Refueling</t>
        </is>
      </c>
      <c r="C73" s="81" t="inlineStr">
        <is>
          <t>Rapid procurement and transport of clean Euro-4 automotive diesel fuel in certified fuel containers to remote sites during prolonged grid emergencies, including manual transfer to day tank.
• Inclusions: Fuel procurement, dedicated transport, manual pumping into tank, fuel quality test.
• Exclusions: Cost of bulk commercial diesel fuel (reimbursed at actual pump receipt price).</t>
        </is>
      </c>
      <c r="D73" s="80" t="inlineStr">
        <is>
          <t>Per Liter Delivered / Per Trip</t>
        </is>
      </c>
      <c r="E73" s="82" t="n">
        <v>20000</v>
      </c>
      <c r="F73" s="82" t="n">
        <v>100000</v>
      </c>
      <c r="G73" s="83" t="n"/>
      <c r="H73" s="84">
        <f>G73*55</f>
        <v/>
      </c>
      <c r="I73" s="85">
        <f>E73*G73</f>
        <v/>
      </c>
      <c r="J73" s="85">
        <f>F73*G73</f>
        <v/>
      </c>
      <c r="K73" s="81" t="inlineStr">
        <is>
          <t>100% upon fuel receipt voucher sign-off.</t>
        </is>
      </c>
      <c r="L73" s="81" t="inlineStr">
        <is>
          <t>Fuel Purchase Receipt &amp; Fuel Delivery Voucher</t>
        </is>
      </c>
    </row>
    <row r="74" ht="24" customHeight="1">
      <c r="A74" s="86" t="inlineStr">
        <is>
          <t>TOTAL EVALUATED SERVICES SCHEDULE (USD)</t>
        </is>
      </c>
      <c r="B74" s="79" t="n"/>
      <c r="C74" s="79" t="n"/>
      <c r="D74" s="79" t="n"/>
      <c r="E74" s="79" t="n"/>
      <c r="F74" s="79" t="n"/>
      <c r="G74" s="79" t="n"/>
      <c r="H74" s="79" t="n"/>
      <c r="I74" s="87">
        <f>SUM(I7:I73)</f>
        <v/>
      </c>
      <c r="J74" s="87">
        <f>SUM(J7:J73)</f>
        <v/>
      </c>
      <c r="K74" s="88" t="n"/>
      <c r="L74" s="88" t="n"/>
    </row>
  </sheetData>
  <mergeCells count="13">
    <mergeCell ref="A15:L15"/>
    <mergeCell ref="A29:L29"/>
    <mergeCell ref="A25:L25"/>
    <mergeCell ref="A3:K3"/>
    <mergeCell ref="A39:L39"/>
    <mergeCell ref="A43:L43"/>
    <mergeCell ref="A2:K2"/>
    <mergeCell ref="A6:L6"/>
    <mergeCell ref="A22:L22"/>
    <mergeCell ref="A1:K1"/>
    <mergeCell ref="A35:L35"/>
    <mergeCell ref="A74:H74"/>
    <mergeCell ref="A65:L6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34" t="inlineStr">
        <is>
          <t>CPE-01</t>
        </is>
      </c>
      <c r="B5" s="34" t="inlineStr">
        <is>
          <t>Indoor 5G High-Gain FWA Router</t>
        </is>
      </c>
      <c r="C5" s="34" t="inlineStr">
        <is>
          <t>Band n50 native, &gt;=8.0 dBi internal antenna, Wi-Fi 6 AX1800/AX3000, 1x 2.5GE + 2x 1GE ports, TR-069/TR-369</t>
        </is>
      </c>
      <c r="D5" s="34" t="n">
        <v>350000</v>
      </c>
      <c r="E5" s="34" t="inlineStr">
        <is>
          <t>units</t>
        </is>
      </c>
      <c r="F5" s="35" t="n"/>
      <c r="G5" s="36">
        <f>D5*F5</f>
        <v/>
      </c>
      <c r="H5" s="34" t="n"/>
    </row>
    <row r="6">
      <c r="A6" s="34" t="inlineStr">
        <is>
          <t>CPE-02</t>
        </is>
      </c>
      <c r="B6" s="34" t="inlineStr">
        <is>
          <t>Outdoor 5G High-Gain FWA Terminal Package</t>
        </is>
      </c>
      <c r="C6" s="34" t="inlineStr">
        <is>
          <t>Band n50, IP67 enclosure, &gt;=12.0 dBi directional antenna, 1x 2.5GE PoE, bundled indoor Wi-Fi 6 router &amp; PoE injector</t>
        </is>
      </c>
      <c r="D6" s="34" t="n">
        <v>15000</v>
      </c>
      <c r="E6" s="34" t="inlineStr">
        <is>
          <t>units</t>
        </is>
      </c>
      <c r="F6" s="35" t="n"/>
      <c r="G6" s="36">
        <f>D6*F6</f>
        <v/>
      </c>
      <c r="H6" s="34" t="n"/>
    </row>
    <row r="7">
      <c r="A7" s="34" t="inlineStr">
        <is>
          <t>CPE-SVC</t>
        </is>
      </c>
      <c r="B7" s="34" t="inlineStr">
        <is>
          <t>Device Staging, Pre-Configuration &amp; SIM Locking</t>
        </is>
      </c>
      <c r="C7" s="34" t="inlineStr">
        <is>
          <t>Firmware customization, operator APN &amp; SIM locking, custom retail packaging for all Phase 1 terminals</t>
        </is>
      </c>
      <c r="D7" s="34" t="n">
        <v>365000</v>
      </c>
      <c r="E7" s="34" t="inlineStr">
        <is>
          <t>units</t>
        </is>
      </c>
      <c r="F7" s="35" t="n"/>
      <c r="G7" s="36">
        <f>D7*F7</f>
        <v/>
      </c>
      <c r="H7" s="34" t="n"/>
    </row>
    <row r="8">
      <c r="A8" s="26" t="inlineStr">
        <is>
          <t>TOTAL-LOT7</t>
        </is>
      </c>
      <c r="B8" s="27" t="inlineStr">
        <is>
          <t>TOTAL 5G CUSTOMER PREMISES EQUIPMENT (CPE)</t>
        </is>
      </c>
      <c r="C8" s="27" t="inlineStr">
        <is>
          <t>Total Initial Terminal Supply &amp; Staging (365,000 Total Devices)</t>
        </is>
      </c>
      <c r="D8" s="26" t="n">
        <v>365000</v>
      </c>
      <c r="E8" s="26" t="inlineStr">
        <is>
          <t>units</t>
        </is>
      </c>
      <c r="F8" s="33" t="inlineStr"/>
      <c r="G8" s="28">
        <f>SUM(G5:G7)</f>
        <v/>
      </c>
      <c r="H8" s="27" t="inlineStr">
        <is>
          <t>Evaluated Lot 7 Total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Telecommunications Technology Solutions Incorporated (TelTech)</t>
        </is>
      </c>
    </row>
    <row r="2">
      <c r="A2" t="inlineStr">
        <is>
          <t>Form C: Phase 1 (1,000 Sites) 10-Year Baseline Lifecycle Total Cost of Ownership (TCO)</t>
        </is>
      </c>
    </row>
    <row r="3">
      <c r="A3" t="inlineStr">
        <is>
          <t>Tender Ref: RFP-TELTECH-FWA-2026-001 | Baseline Evaluation: Committed 1,000 Sites (Lots 1, 2, 5 Turnkey) | Expansion Yrs 2-5 Call-Off</t>
        </is>
      </c>
    </row>
    <row r="5">
      <c r="A5" s="37" t="inlineStr">
        <is>
          <t>Cost Category / Lifecycle Element</t>
        </is>
      </c>
      <c r="B5" s="37" t="inlineStr">
        <is>
          <t>Phase 1 Capex (Yr 1)</t>
        </is>
      </c>
      <c r="C5" s="37" t="inlineStr">
        <is>
          <t>Yr 2</t>
        </is>
      </c>
      <c r="D5" s="37" t="inlineStr">
        <is>
          <t>Yr 3</t>
        </is>
      </c>
      <c r="E5" s="37" t="inlineStr">
        <is>
          <t>Yr 4</t>
        </is>
      </c>
      <c r="F5" s="37" t="inlineStr">
        <is>
          <t>Yr 5</t>
        </is>
      </c>
      <c r="G5" s="37" t="inlineStr">
        <is>
          <t>Yrs 6-10 Cumulative</t>
        </is>
      </c>
      <c r="H5" s="37" t="inlineStr">
        <is>
          <t>10-Year Total TCO (USD)</t>
        </is>
      </c>
      <c r="I5" s="37" t="inlineStr">
        <is>
          <t>Notes &amp; Pricing Assumptions</t>
        </is>
      </c>
    </row>
    <row r="6">
      <c r="A6" t="inlineStr">
        <is>
          <t>1. 5G RAN &amp; Site Infrastructure Capex (Lots 1, 2, 5)</t>
        </is>
      </c>
      <c r="B6">
        <f>'Lot 1 - RAN &amp; Rollout'!H17+'Lot 2 - Power &amp; Passive'!I9+'Lot 5 - Site Acq &amp; Civils'!I14</f>
        <v/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>
        <f>SUM(B6:G6)</f>
        <v/>
      </c>
      <c r="I6" t="inlineStr">
        <is>
          <t>[Evaluated Tender Input] Initial 1,000 sites turnkey rollout (Lots 1, 2, 5 Phase 1 Totals). Expansion Yrs 2-5 Capex evaluated via contractual call-off rate card.</t>
        </is>
      </c>
    </row>
    <row r="7">
      <c r="A7" t="inlineStr">
        <is>
          <t>2. 5G Core Network &amp; Cloud Infrastructure (Lot 3)</t>
        </is>
      </c>
      <c r="B7">
        <f>'Lot 3 - 5G Core'!F13</f>
        <v/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>
        <f>SUM(B7:G7)</f>
        <v/>
      </c>
      <c r="I7" t="inlineStr">
        <is>
          <t>[Evaluated Tender Input] Day-1 Core &amp; DC infrastructure dimensioned for 1.0M subscribers (perpetual license + compute fabric).</t>
        </is>
      </c>
    </row>
    <row r="8">
      <c r="A8" t="inlineStr">
        <is>
          <t>3. Digital OSS/BSS &amp; Automation (Lot 4)</t>
        </is>
      </c>
      <c r="B8">
        <f>'Lot 4 - OSS-BSS'!F15</f>
        <v/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>
        <f>SUM(B8:G8)</f>
        <v/>
      </c>
      <c r="I8" t="inlineStr">
        <is>
          <t>[Evaluated Tender Input] Turnkey BSS/OSS stack, CRM, prepaid billing, and FMS dispatch engine.</t>
        </is>
      </c>
    </row>
    <row r="9">
      <c r="A9" t="inlineStr">
        <is>
          <t>4. 5G CPE Terminals Supply (Lot 7)</t>
        </is>
      </c>
      <c r="B9">
        <f>'Lot 7 - 5G CPE'!G8</f>
        <v/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>
        <f>SUM(B9:G9)</f>
        <v/>
      </c>
      <c r="I9" t="inlineStr">
        <is>
          <t>[Evaluated Tender Input] Phase 1 initial supply of 365,000 subscriber terminals (350k indoor + 15k outdoor).</t>
        </is>
      </c>
    </row>
    <row r="10">
      <c r="A10" t="inlineStr">
        <is>
          <t>5. Annual Maintenance Contract (AMC) &amp; Support (Lots 3 + 4)</t>
        </is>
      </c>
      <c r="B10" t="n">
        <v>0</v>
      </c>
      <c r="C10">
        <f>('Lot 3 - 5G Core'!F13*0.10)+('Lot 4 - OSS-BSS'!F15*0.10)</f>
        <v/>
      </c>
      <c r="D10">
        <f>('Lot 3 - 5G Core'!F13*0.10)+('Lot 4 - OSS-BSS'!F15*0.10)</f>
        <v/>
      </c>
      <c r="E10">
        <f>('Lot 3 - 5G Core'!F13*0.10)+('Lot 4 - OSS-BSS'!F15*0.10)</f>
        <v/>
      </c>
      <c r="F10">
        <f>('Lot 3 - 5G Core'!F13*0.10)+('Lot 4 - OSS-BSS'!F15*0.10)</f>
        <v/>
      </c>
      <c r="G10">
        <f>(('Lot 3 - 5G Core'!F13*0.10)+('Lot 4 - OSS-BSS'!F15*0.10))*5</f>
        <v/>
      </c>
      <c r="H10">
        <f>SUM(B10:G10)</f>
        <v/>
      </c>
      <c r="I10" t="inlineStr">
        <is>
          <t>[Prescribed Evaluated Parameter] Standard 10.0% p.a. Annual Maintenance Contract (AMC) &amp; Technical Support based on combined Total Year 1 Turnkey Capex of Lot 3 (5G Core) and Lot 4 (OSS/BSS), commencing in Year 2 post-warranty.</t>
        </is>
      </c>
    </row>
    <row r="11">
      <c r="A11" t="inlineStr">
        <is>
          <t>6. Managed Services &amp; Field Operations (Lot 6)</t>
        </is>
      </c>
      <c r="B11">
        <f>'Lot 6 - Managed Services'!G10*1000</f>
        <v/>
      </c>
      <c r="C11">
        <f>'Lot 6 - Managed Services'!G10*1000</f>
        <v/>
      </c>
      <c r="D11">
        <f>'Lot 6 - Managed Services'!G10*1000</f>
        <v/>
      </c>
      <c r="E11">
        <f>'Lot 6 - Managed Services'!G10*1000</f>
        <v/>
      </c>
      <c r="F11">
        <f>'Lot 6 - Managed Services'!G10*1000</f>
        <v/>
      </c>
      <c r="G11">
        <f>'Lot 6 - Managed Services'!G10*1000*5</f>
        <v/>
      </c>
      <c r="H11">
        <f>SUM(B11:G11)</f>
        <v/>
      </c>
      <c r="I11" t="inlineStr">
        <is>
          <t>[Prescribed Evaluated Parameter] Evaluated on Phase 1 network baseline (1,000 sites footprint @ Lot 6 quoted annual rate). Scales proportionately upon expansion call-off.</t>
        </is>
      </c>
    </row>
    <row r="12">
      <c r="A12" t="inlineStr">
        <is>
          <t>7. Spare Parts Float &amp; RMA Replenishment</t>
        </is>
      </c>
      <c r="B12">
        <f>B6*0.02</f>
        <v/>
      </c>
      <c r="C12">
        <f>B6*0.01</f>
        <v/>
      </c>
      <c r="D12">
        <f>B6*0.01</f>
        <v/>
      </c>
      <c r="E12">
        <f>B6*0.01</f>
        <v/>
      </c>
      <c r="F12">
        <f>B6*0.01</f>
        <v/>
      </c>
      <c r="G12">
        <f>B6*0.05</f>
        <v/>
      </c>
      <c r="H12">
        <f>SUM(B12:G12)</f>
        <v/>
      </c>
      <c r="I12" t="inlineStr">
        <is>
          <t>[Prescribed Evaluated Parameter] 2.0% initial spares float in Yr 1, 1.0% annual replenishment in Yrs 2-5, and 5.0% cumulative in Yrs 6-10.</t>
        </is>
      </c>
    </row>
    <row r="13">
      <c r="A13" s="38" t="inlineStr">
        <is>
          <t>TOTAL EVALUATED 10-YEAR TCO (USD) — Phase 1 Network Baseline</t>
        </is>
      </c>
      <c r="B13" s="38">
        <f>SUM(B6:B12)</f>
        <v/>
      </c>
      <c r="C13" s="38">
        <f>SUM(C6:C12)</f>
        <v/>
      </c>
      <c r="D13" s="38">
        <f>SUM(D6:D12)</f>
        <v/>
      </c>
      <c r="E13" s="38">
        <f>SUM(E6:E12)</f>
        <v/>
      </c>
      <c r="F13" s="38">
        <f>SUM(F6:F12)</f>
        <v/>
      </c>
      <c r="G13" s="38">
        <f>SUM(G6:G12)</f>
        <v/>
      </c>
      <c r="H13" s="38">
        <f>SUM(H6:H12)</f>
        <v/>
      </c>
      <c r="I13" s="38" t="inlineStr">
        <is>
          <t>Evaluated Total Lifecycle Cost of Ownership for Phase 1 Baseline</t>
        </is>
      </c>
    </row>
    <row r="15">
      <c r="A15" s="66" t="inlineStr">
        <is>
          <t>Note: This schedule establishes the official evaluated 10-Year Lifecycle TCO for the committed Phase 1 network baseline (1,000 macro BTS sites). Expansion Capex for Years 2 to 5 (Phases 2 to 5, 1,000 sites/year up to 5,000 sites total) is governed by the firm unit rates in Lots 1, 2, 5, and 7 under contractual call-off options (Section 4.5).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Flexible facility tenor up to 20 Years (minimum 4 Years, 5+ Years Preferred)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Deferred payment / principal grace period up to 10 Years (minimum 12 Months, 18+ Months Preferred)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(preferred &lt;= 6.50% p.a.) or competitive benchmark to SOFR + spread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OLIVER TUNGOL</dc:creator>
  <dcterms:created xmlns:dcterms="http://purl.org/dc/terms/" xmlns:xsi="http://www.w3.org/2001/XMLSchema-instance" xsi:type="dcterms:W3CDTF">2026-10-06T05:33:15Z</dcterms:created>
  <dcterms:modified xmlns:dcterms="http://purl.org/dc/terms/" xmlns:xsi="http://www.w3.org/2001/XMLSchema-instance" xsi:type="dcterms:W3CDTF">2026-10-25T03:46:01Z</dcterms:modified>
  <cp:lastModifiedBy>OLIVER TUNGOL</cp:lastModifiedBy>
</cp:coreProperties>
</file>