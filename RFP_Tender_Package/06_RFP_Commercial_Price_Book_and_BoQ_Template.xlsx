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6 - Managed Services" sheetId="7" state="visible" r:id="rId7"/>
    <sheet name="Lot 7 - 5G CPE" sheetId="8" state="visible" r:id="rId8"/>
    <sheet name="Form D - Vendor Financ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Comclark Network &amp; Technology Corp. / TelTech | Author &amp; Lead Architect: OLIVER TUNGOL</t>
        </is>
      </c>
    </row>
    <row r="4">
      <c r="A4" t="inlineStr">
        <is>
          <t>Tender Ref: RFP-TELTECH-FWA-2026-001 | Version: Official Bidding Version (Blank BoQ) | Date: October 6,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150Ah LiFePO4 battery,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Mandatory SLA metric: 99.95% radio availability,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subscriber terminals for initial commercial rollout.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Comclark Network &amp; Technology Corp. / TelTech | Author &amp; Lead Architect: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3" t="inlineStr">
        <is>
          <t>Lot 6: Managed Services &amp; 24/7 First Line Maintenance</t>
        </is>
      </c>
      <c r="B18" s="7" t="inlineStr">
        <is>
          <t>Lot 6 - Managed Services</t>
        </is>
      </c>
    </row>
    <row r="19">
      <c r="A19" s="3" t="inlineStr">
        <is>
          <t>Lot 7: 5G High-Gain Customer Premises Equipment (CPE)</t>
        </is>
      </c>
      <c r="B19" s="7" t="inlineStr">
        <is>
          <t>Lot 7 - 5G CPE</t>
        </is>
      </c>
    </row>
    <row r="20">
      <c r="A20" s="3" t="inlineStr">
        <is>
          <t>Form D: Mandatory Vendor Financing Proposal</t>
        </is>
      </c>
      <c r="B20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Rates in Column F</t>
        </is>
      </c>
    </row>
    <row r="4">
      <c r="A4" s="4" t="inlineStr">
        <is>
          <t>Item Code</t>
        </is>
      </c>
      <c r="B4" s="4" t="inlineStr">
        <is>
          <t>Equipment Description</t>
        </is>
      </c>
      <c r="C4" s="4" t="inlineStr">
        <is>
          <t>Technical Specification</t>
        </is>
      </c>
      <c r="D4" s="4" t="inlineStr">
        <is>
          <t>Application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Unit Rate (PHP @ 55)</t>
        </is>
      </c>
      <c r="H4" s="4" t="inlineStr">
        <is>
          <t>Remarks / Bidder Model</t>
        </is>
      </c>
    </row>
    <row r="5">
      <c r="A5" s="6" t="inlineStr">
        <is>
          <t>PWR-01</t>
        </is>
      </c>
      <c r="B5" s="6" t="inlineStr">
        <is>
          <t>6.0 kW Modular DC Rectifier Plant</t>
        </is>
      </c>
      <c r="C5" s="6" t="inlineStr">
        <is>
          <t>19" 3U subrack, 3x 3.0 kW modules (N+1), SMPS controller, 96% eff</t>
        </is>
      </c>
      <c r="D5" s="6" t="inlineStr">
        <is>
          <t>Co-loc &amp; Greenfield</t>
        </is>
      </c>
      <c r="E5" s="6" t="inlineStr">
        <is>
          <t>set</t>
        </is>
      </c>
      <c r="F5" s="14" t="n"/>
      <c r="G5" s="6">
        <f>F5*55</f>
        <v/>
      </c>
      <c r="H5" s="9" t="n"/>
    </row>
    <row r="6">
      <c r="A6" s="6" t="inlineStr">
        <is>
          <t>PWR-02</t>
        </is>
      </c>
      <c r="B6" s="6" t="inlineStr">
        <is>
          <t>48V / 150Ah LiFePO4 Battery Bank</t>
        </is>
      </c>
      <c r="C6" s="6" t="inlineStr">
        <is>
          <t>LFP chemistry, &gt;=4,000 cycles @ 80% DoD, smart BMS, &gt;=4h autonomy</t>
        </is>
      </c>
      <c r="D6" s="6" t="inlineStr">
        <is>
          <t>Co-loc &amp; Greenfield</t>
        </is>
      </c>
      <c r="E6" s="6" t="inlineStr">
        <is>
          <t>set</t>
        </is>
      </c>
      <c r="F6" s="14" t="n"/>
      <c r="G6" s="6">
        <f>F6*55</f>
        <v/>
      </c>
      <c r="H6" s="9" t="n"/>
    </row>
    <row r="7">
      <c r="A7" s="6" t="inlineStr">
        <is>
          <t>PWR-03</t>
        </is>
      </c>
      <c r="B7" s="6" t="inlineStr">
        <is>
          <t>TowerCo DC Tap-Off Box &amp; Submeter</t>
        </is>
      </c>
      <c r="C7" s="6" t="inlineStr">
        <is>
          <t>Enclosure, Class 1.0 revenue kWh meter, RS485 telemetry, SPD Type 2</t>
        </is>
      </c>
      <c r="D7" s="6" t="inlineStr">
        <is>
          <t>Leased TowerCo Sites</t>
        </is>
      </c>
      <c r="E7" s="6" t="inlineStr">
        <is>
          <t>set</t>
        </is>
      </c>
      <c r="F7" s="14" t="n"/>
      <c r="G7" s="6">
        <f>F7*55</f>
        <v/>
      </c>
      <c r="H7" s="9" t="n"/>
    </row>
    <row r="8">
      <c r="A8" s="6" t="inlineStr">
        <is>
          <t>PWR-04</t>
        </is>
      </c>
      <c r="B8" s="6" t="inlineStr">
        <is>
          <t>15 kVA Soundproof Standby Genset</t>
        </is>
      </c>
      <c r="C8" s="6" t="inlineStr">
        <is>
          <t>Diesel, 230V 60Hz, 500L-1000L sub-base tank, ATS auto-transfer, &lt;68dBA</t>
        </is>
      </c>
      <c r="D8" s="6" t="inlineStr">
        <is>
          <t>Greenfield Sites</t>
        </is>
      </c>
      <c r="E8" s="6" t="inlineStr">
        <is>
          <t>set</t>
        </is>
      </c>
      <c r="F8" s="14" t="n"/>
      <c r="G8" s="6">
        <f>F8*55</f>
        <v/>
      </c>
      <c r="H8" s="9" t="n"/>
    </row>
    <row r="9">
      <c r="A9" s="6" t="inlineStr">
        <is>
          <t>CIV-01</t>
        </is>
      </c>
      <c r="B9" s="6" t="inlineStr">
        <is>
          <t>30m Monopole Tower &amp; Foundation</t>
        </is>
      </c>
      <c r="C9" s="6" t="inlineStr">
        <is>
          <t>ASTM A572 steel, 250 km/h wind rating, 8x8m compound, pad foundation</t>
        </is>
      </c>
      <c r="D9" s="6" t="inlineStr">
        <is>
          <t>Greenfield Sites</t>
        </is>
      </c>
      <c r="E9" s="6" t="inlineStr">
        <is>
          <t>site</t>
        </is>
      </c>
      <c r="F9" s="14" t="n"/>
      <c r="G9" s="6">
        <f>F9*55</f>
        <v/>
      </c>
      <c r="H9" s="9" t="n"/>
    </row>
    <row r="10">
      <c r="A10" s="6" t="inlineStr">
        <is>
          <t>CIV-02</t>
        </is>
      </c>
      <c r="B10" s="6" t="inlineStr">
        <is>
          <t>Grounding Grid &amp; Lightning System</t>
        </is>
      </c>
      <c r="C10" s="6" t="inlineStr">
        <is>
          <t>Copper earth ring, Cadweld, ground rods, air terminal (&lt;=5 Ohms)</t>
        </is>
      </c>
      <c r="D10" s="6" t="inlineStr">
        <is>
          <t>Greenfield Sites</t>
        </is>
      </c>
      <c r="E10" s="6" t="inlineStr">
        <is>
          <t>site</t>
        </is>
      </c>
      <c r="F10" s="14" t="n"/>
      <c r="G10" s="6">
        <f>F10*55</f>
        <v/>
      </c>
      <c r="H10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Availability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6" t="inlineStr">
        <is>
          <t>CPE-01</t>
        </is>
      </c>
      <c r="B5" s="6" t="inlineStr">
        <is>
          <t>Indoor 5G High-Gain FWA Router</t>
        </is>
      </c>
      <c r="C5" s="6" t="inlineStr">
        <is>
          <t>Band n50 native, 8-10 dBi internal antenna, Wi-Fi 6 AX1800, 2.5GE port, TR-069</t>
        </is>
      </c>
      <c r="D5" s="6" t="n">
        <v>350000</v>
      </c>
      <c r="E5" s="6" t="inlineStr">
        <is>
          <t>units</t>
        </is>
      </c>
      <c r="F5" s="15" t="n"/>
      <c r="G5" s="6">
        <f>D5*F5</f>
        <v/>
      </c>
      <c r="H5" s="9" t="n"/>
    </row>
    <row r="6">
      <c r="A6" s="6" t="inlineStr">
        <is>
          <t>CPE-02</t>
        </is>
      </c>
      <c r="B6" s="6" t="inlineStr">
        <is>
          <t>Outdoor 5G High-Gain FWA Terminal</t>
        </is>
      </c>
      <c r="C6" s="6" t="inlineStr">
        <is>
          <t>Band n50 native, 12 dBi directional antenna, IP67 enclosure, PoE, 2.5GE port</t>
        </is>
      </c>
      <c r="D6" s="6" t="n">
        <v>15000</v>
      </c>
      <c r="E6" s="6" t="inlineStr">
        <is>
          <t>units</t>
        </is>
      </c>
      <c r="F6" s="15" t="n"/>
      <c r="G6" s="6">
        <f>D6*F6</f>
        <v/>
      </c>
      <c r="H6" s="9" t="n"/>
    </row>
    <row r="7">
      <c r="A7" s="6" t="inlineStr">
        <is>
          <t>CPE-SVC</t>
        </is>
      </c>
      <c r="B7" s="6" t="inlineStr">
        <is>
          <t>Device Staging, Pre-Configuration &amp; SIM Locking</t>
        </is>
      </c>
      <c r="C7" s="6" t="inlineStr">
        <is>
          <t>Firmware customization, operator APN &amp; SIM locking, custom packaging</t>
        </is>
      </c>
      <c r="D7" s="6" t="n">
        <v>350000</v>
      </c>
      <c r="E7" s="6" t="inlineStr">
        <is>
          <t>units</t>
        </is>
      </c>
      <c r="F7" s="15" t="n"/>
      <c r="G7" s="6">
        <f>D7*F7</f>
        <v/>
      </c>
      <c r="H7" s="9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Minimum 4 to 5 Years total facility duration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Minimum 12 to 18 Months grace period from first disbursement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&lt;= 6.50% p.a. (or SOFR + competitive spread)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2026-10-06T05:33:15Z</dcterms:created>
  <dcterms:modified xsi:type="dcterms:W3CDTF">2026-10-06T05:33:15Z</dcterms:modified>
</cp:coreProperties>
</file>