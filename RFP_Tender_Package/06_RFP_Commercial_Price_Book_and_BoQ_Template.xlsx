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- Data Dictionary" sheetId="1" state="visible" r:id="rId1"/>
    <sheet name="Tender Summary &amp; Instructions" sheetId="2" state="visible" r:id="rId2"/>
    <sheet name="Lot 1 - RAN &amp; Rollout" sheetId="3" state="visible" r:id="rId3"/>
    <sheet name="Lot 2 - Power &amp; Passive" sheetId="4" state="visible" r:id="rId4"/>
    <sheet name="Lot 3 - 5G Core" sheetId="5" state="visible" r:id="rId5"/>
    <sheet name="Lot 4 - OSS-BSS" sheetId="6" state="visible" r:id="rId6"/>
    <sheet name="Lot 5 - Site Acq &amp; Civils" sheetId="7" state="visible" r:id="rId7"/>
    <sheet name="Lot 6 - Managed Services" sheetId="8" state="visible" r:id="rId8"/>
    <sheet name="Lot 7 - 5G CPE" sheetId="9" state="visible" r:id="rId9"/>
    <sheet name="Form C - 10-Year TCO Schedule" sheetId="10" state="visible" r:id="rId10"/>
    <sheet name="Form D - Vendor Financ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₱#,##0.00"/>
    <numFmt numFmtId="166" formatCode="0,##0.00"/>
  </numFmts>
  <fonts count="1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b val="1"/>
      <color rgb="00FFFFFF"/>
    </font>
    <font>
      <b val="1"/>
    </font>
    <font>
      <name val="Calibri"/>
      <b val="1"/>
      <color rgb="000F172A"/>
      <sz val="11"/>
    </font>
    <font>
      <name val="Calibri"/>
      <i val="1"/>
      <color rgb="00475569"/>
      <sz val="10"/>
    </font>
    <font>
      <name val="Calibri"/>
      <color rgb="001E293B"/>
      <sz val="10"/>
    </font>
    <font>
      <name val="Calibri"/>
      <color rgb="001E293B"/>
      <sz val="11"/>
    </font>
    <font>
      <name val="Calibri"/>
      <b val="1"/>
      <color rgb="0078350F"/>
      <sz val="10"/>
    </font>
    <font>
      <name val="Calibri"/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D9E1F2"/>
        <bgColor rgb="00D9E1F2"/>
      </patternFill>
    </fill>
    <fill>
      <patternFill patternType="solid">
        <fgColor rgb="000A192F"/>
      </patternFill>
    </fill>
    <fill>
      <patternFill patternType="solid">
        <f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F4E79"/>
      </top>
      <bottom style="double">
        <color rgb="001F4E79"/>
      </bottom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3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164" fontId="8" fillId="3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0" fontId="9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/>
    </xf>
    <xf numFmtId="164" fontId="9" fillId="4" borderId="3" applyAlignment="1" pivotButton="0" quotePrefix="0" xfId="0">
      <alignment horizontal="right" vertical="center"/>
    </xf>
    <xf numFmtId="165" fontId="9" fillId="4" borderId="3" applyAlignment="1" pivotButton="0" quotePrefix="0" xfId="0">
      <alignment horizontal="right" vertical="center"/>
    </xf>
    <xf numFmtId="0" fontId="9" fillId="4" borderId="3" pivotButton="0" quotePrefix="0" xfId="0"/>
    <xf numFmtId="0" fontId="8" fillId="3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right" vertical="center"/>
    </xf>
    <xf numFmtId="0" fontId="9" fillId="4" borderId="3" applyAlignment="1" pivotButton="0" quotePrefix="0" xfId="0">
      <alignment horizontal="right" vertical="center"/>
    </xf>
    <xf numFmtId="0" fontId="8" fillId="0" borderId="2" pivotButton="0" quotePrefix="0" xfId="0"/>
    <xf numFmtId="164" fontId="8" fillId="3" borderId="2" pivotButton="0" quotePrefix="0" xfId="0"/>
    <xf numFmtId="164" fontId="8" fillId="0" borderId="2" pivotButton="0" quotePrefix="0" xfId="0"/>
    <xf numFmtId="0" fontId="10" fillId="5" borderId="0" pivotButton="0" quotePrefix="0" xfId="0"/>
    <xf numFmtId="0" fontId="11" fillId="6" borderId="0" pivotButton="0" quotePrefix="0" xfId="0"/>
    <xf numFmtId="0" fontId="12" fillId="7" borderId="5" applyAlignment="1" pivotButton="0" quotePrefix="0" xfId="0">
      <alignment vertical="top"/>
    </xf>
    <xf numFmtId="0" fontId="13" fillId="7" borderId="5" applyAlignment="1" pivotButton="0" quotePrefix="0" xfId="0">
      <alignment vertical="top"/>
    </xf>
    <xf numFmtId="0" fontId="14" fillId="7" borderId="5" applyAlignment="1" pivotButton="0" quotePrefix="0" xfId="0">
      <alignment vertical="top"/>
    </xf>
    <xf numFmtId="0" fontId="15" fillId="7" borderId="5" applyAlignment="1" pivotButton="0" quotePrefix="0" xfId="0">
      <alignment vertical="top" wrapText="1"/>
    </xf>
    <xf numFmtId="0" fontId="12" fillId="8" borderId="5" applyAlignment="1" pivotButton="0" quotePrefix="0" xfId="0">
      <alignment vertical="top"/>
    </xf>
    <xf numFmtId="0" fontId="13" fillId="8" borderId="5" applyAlignment="1" pivotButton="0" quotePrefix="0" xfId="0">
      <alignment vertical="top"/>
    </xf>
    <xf numFmtId="0" fontId="14" fillId="8" borderId="5" applyAlignment="1" pivotButton="0" quotePrefix="0" xfId="0">
      <alignment vertical="top"/>
    </xf>
    <xf numFmtId="0" fontId="15" fillId="8" borderId="5" applyAlignment="1" pivotButton="0" quotePrefix="0" xfId="0">
      <alignment vertical="top" wrapText="1"/>
    </xf>
    <xf numFmtId="0" fontId="16" fillId="9" borderId="5" applyAlignment="1" pivotButton="0" quotePrefix="0" xfId="0">
      <alignment vertical="top"/>
    </xf>
    <xf numFmtId="0" fontId="4" fillId="2" borderId="2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left" vertical="center"/>
    </xf>
    <xf numFmtId="0" fontId="5" fillId="7" borderId="5" applyAlignment="1" pivotButton="0" quotePrefix="0" xfId="0">
      <alignment horizontal="left" vertical="center" wrapText="1"/>
    </xf>
    <xf numFmtId="164" fontId="5" fillId="7" borderId="5" applyAlignment="1" pivotButton="0" quotePrefix="0" xfId="0">
      <alignment horizontal="center" vertical="center"/>
    </xf>
    <xf numFmtId="166" fontId="5" fillId="9" borderId="5" applyAlignment="1" pivotButton="0" quotePrefix="0" xfId="0">
      <alignment horizontal="right" vertical="center"/>
    </xf>
    <xf numFmtId="165" fontId="5" fillId="7" borderId="5" applyAlignment="1" pivotButton="0" quotePrefix="0" xfId="0">
      <alignment horizontal="right" vertical="center"/>
    </xf>
    <xf numFmtId="166" fontId="5" fillId="7" borderId="5" applyAlignment="1" pivotButton="0" quotePrefix="0" xfId="0">
      <alignment horizontal="right" vertical="center"/>
    </xf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left" vertical="center"/>
    </xf>
    <xf numFmtId="0" fontId="5" fillId="10" borderId="5" applyAlignment="1" pivotButton="0" quotePrefix="0" xfId="0">
      <alignment horizontal="left" vertical="center" wrapText="1"/>
    </xf>
    <xf numFmtId="164" fontId="5" fillId="10" borderId="5" applyAlignment="1" pivotButton="0" quotePrefix="0" xfId="0">
      <alignment horizontal="center" vertical="center"/>
    </xf>
    <xf numFmtId="165" fontId="5" fillId="10" borderId="5" applyAlignment="1" pivotButton="0" quotePrefix="0" xfId="0">
      <alignment horizontal="right" vertical="center"/>
    </xf>
    <xf numFmtId="166" fontId="5" fillId="10" borderId="5" applyAlignment="1" pivotButton="0" quotePrefix="0" xfId="0">
      <alignment horizontal="right" vertical="center"/>
    </xf>
    <xf numFmtId="0" fontId="3" fillId="4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left" vertical="center"/>
    </xf>
    <xf numFmtId="164" fontId="3" fillId="4" borderId="5" applyAlignment="1" pivotButton="0" quotePrefix="0" xfId="0">
      <alignment horizontal="center" vertical="center"/>
    </xf>
    <xf numFmtId="166" fontId="3" fillId="4" borderId="5" applyAlignment="1" pivotButton="0" quotePrefix="0" xfId="0">
      <alignment horizontal="right" vertical="center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  <col width="24" customWidth="1" min="4" max="4"/>
    <col width="85" customWidth="1" min="5" max="5"/>
  </cols>
  <sheetData>
    <row r="1">
      <c r="A1" s="1" t="inlineStr">
        <is>
          <t>RFP COMMERCIAL PRICE BOOK &amp; BILL OF QUANTITIES — DATA DICTIONARY &amp; READ ME</t>
        </is>
      </c>
    </row>
    <row r="2">
      <c r="A2" s="2" t="inlineStr">
        <is>
          <t>Project: Nationwide 5G FWA Network (Band n50, 60 MHz TDD) | 5,000 Sites Footprint</t>
        </is>
      </c>
    </row>
    <row r="3">
      <c r="A3" s="3" t="inlineStr">
        <is>
          <t>Operator: Telecommunications Technology Solutions Incorporated (TelTech) | Author: OLIVER TUNGOL</t>
        </is>
      </c>
    </row>
    <row r="4">
      <c r="A4" t="inlineStr">
        <is>
          <t>Tender Ref: RFP-TELTECH-FWA-2026-001 | Version: Official Bidding Version (Blank BoQ) | Date: October 14, 2026</t>
        </is>
      </c>
    </row>
    <row r="6">
      <c r="A6" s="4" t="inlineStr">
        <is>
          <t>Tab Ref / Sheet Name</t>
        </is>
      </c>
      <c r="B6" s="4" t="inlineStr">
        <is>
          <t>Column Header</t>
        </is>
      </c>
      <c r="C6" s="4" t="inlineStr">
        <is>
          <t>Data Type</t>
        </is>
      </c>
      <c r="D6" s="4" t="inlineStr">
        <is>
          <t>Required / Formula</t>
        </is>
      </c>
      <c r="E6" s="4" t="inlineStr">
        <is>
          <t>Operational Definition &amp; Engineering Purpose for Bidders</t>
        </is>
      </c>
    </row>
    <row r="7">
      <c r="A7" s="39" t="inlineStr">
        <is>
          <t>Tender Summary &amp; Instructions</t>
        </is>
      </c>
      <c r="B7" s="39" t="inlineStr">
        <is>
          <t>Instructions &amp; Summary</t>
        </is>
      </c>
      <c r="C7" s="40" t="inlineStr">
        <is>
          <t>Text / Matrix</t>
        </is>
      </c>
      <c r="D7" s="41" t="inlineStr">
        <is>
          <t>Informational</t>
        </is>
      </c>
      <c r="E7" s="42" t="inlineStr">
        <is>
          <t>Overview of bidding currency (USD/PHP), 180-day price validity, scope boundaries, yellow input cell guidelines, and lot descriptions.</t>
        </is>
      </c>
    </row>
    <row r="8">
      <c r="A8" s="43" t="inlineStr">
        <is>
          <t>Lot 1 - RAN &amp; Rollout</t>
        </is>
      </c>
      <c r="B8" s="43" t="inlineStr">
        <is>
          <t>Item Code</t>
        </is>
      </c>
      <c r="C8" s="44" t="inlineStr">
        <is>
          <t>Alphanumeric Code</t>
        </is>
      </c>
      <c r="D8" s="45" t="inlineStr">
        <is>
          <t>Mandatory Code</t>
        </is>
      </c>
      <c r="E8" s="46" t="inlineStr">
        <is>
          <t>Unique reference identifier for RAN hardware and services (e.g. RAN-HW-01 for BBU, RAN-SVC-01 for TSSR).</t>
        </is>
      </c>
    </row>
    <row r="9">
      <c r="A9" s="39" t="inlineStr">
        <is>
          <t>Lot 1 - RAN &amp; Rollout</t>
        </is>
      </c>
      <c r="B9" s="39" t="inlineStr">
        <is>
          <t>Item Description</t>
        </is>
      </c>
      <c r="C9" s="40" t="inlineStr">
        <is>
          <t>Text Description</t>
        </is>
      </c>
      <c r="D9" s="41" t="inlineStr">
        <is>
          <t>Specification</t>
        </is>
      </c>
      <c r="E9" s="42" t="inlineStr">
        <is>
          <t>Commercial name of the access equipment subsystem or turnkey rollout engineering activity.</t>
        </is>
      </c>
    </row>
    <row r="10">
      <c r="A10" s="43" t="inlineStr">
        <is>
          <t>Lot 1 - RAN &amp; Rollout</t>
        </is>
      </c>
      <c r="B10" s="43" t="inlineStr">
        <is>
          <t>Detailed Technical Specification</t>
        </is>
      </c>
      <c r="C10" s="44" t="inlineStr">
        <is>
          <t>Text Description</t>
        </is>
      </c>
      <c r="D10" s="45" t="inlineStr">
        <is>
          <t>Compliance Basis</t>
        </is>
      </c>
      <c r="E10" s="46" t="inlineStr">
        <is>
          <t>Mandatory technical standards (e.g., Band n50, 60 MHz TDD, 8T8R 320W RF power, eCPRI interfaces).</t>
        </is>
      </c>
    </row>
    <row r="11">
      <c r="A11" s="39" t="inlineStr">
        <is>
          <t>Lot 1 - RAN &amp; Rollout</t>
        </is>
      </c>
      <c r="B11" s="39" t="inlineStr">
        <is>
          <t>Qty / Site</t>
        </is>
      </c>
      <c r="C11" s="40" t="inlineStr">
        <is>
          <t>Integer</t>
        </is>
      </c>
      <c r="D11" s="41" t="inlineStr">
        <is>
          <t>Dimensioning</t>
        </is>
      </c>
      <c r="E11" s="42" t="inlineStr">
        <is>
          <t>Standard quantity deployed per macro site (e.g., 1 BBU, 3 RRUs, 3 Antennas per 3-sector macro BTS).</t>
        </is>
      </c>
    </row>
    <row r="12">
      <c r="A12" s="43" t="inlineStr">
        <is>
          <t>Lot 1 - RAN &amp; Rollout</t>
        </is>
      </c>
      <c r="B12" s="43" t="inlineStr">
        <is>
          <t>UoM</t>
        </is>
      </c>
      <c r="C12" s="44" t="inlineStr">
        <is>
          <t>Unit of Measure</t>
        </is>
      </c>
      <c r="D12" s="45" t="inlineStr">
        <is>
          <t>Standard UoM</t>
        </is>
      </c>
      <c r="E12" s="46" t="inlineStr">
        <is>
          <t>Commercial billing unit: set, lot, site, or system.</t>
        </is>
      </c>
    </row>
    <row r="13">
      <c r="A13" s="39" t="inlineStr">
        <is>
          <t>Lot 1 - RAN &amp; Rollout</t>
        </is>
      </c>
      <c r="B13" s="39" t="inlineStr">
        <is>
          <t>Unit Rate (USD)</t>
        </is>
      </c>
      <c r="C13" s="40" t="inlineStr">
        <is>
          <t>Currency ($ USD)</t>
        </is>
      </c>
      <c r="D13" s="47" t="inlineStr">
        <is>
          <t>BIDDER TO QUOTE</t>
        </is>
      </c>
      <c r="E13" s="42" t="inlineStr">
        <is>
          <t>Firm, fixed unit price quoted by Bidder in US Dollars (Yellow input cells).</t>
        </is>
      </c>
    </row>
    <row r="14">
      <c r="A14" s="43" t="inlineStr">
        <is>
          <t>Lot 1 - RAN &amp; Rollout</t>
        </is>
      </c>
      <c r="B14" s="43" t="inlineStr">
        <is>
          <t>Total per Site (USD)</t>
        </is>
      </c>
      <c r="C14" s="44" t="inlineStr">
        <is>
          <t>Currency ($ USD)</t>
        </is>
      </c>
      <c r="D14" s="45" t="inlineStr">
        <is>
          <t>Formula (=Qty*Rate)</t>
        </is>
      </c>
      <c r="E14" s="46" t="inlineStr">
        <is>
          <t>Turnkey total access Capex per individual BTS site.</t>
        </is>
      </c>
    </row>
    <row r="15">
      <c r="A15" s="39" t="inlineStr">
        <is>
          <t>Lot 1 - RAN &amp; Rollout</t>
        </is>
      </c>
      <c r="B15" s="39" t="inlineStr">
        <is>
          <t>Phase 1 Total (1,000 Sites)</t>
        </is>
      </c>
      <c r="C15" s="40" t="inlineStr">
        <is>
          <t>Currency ($ USD)</t>
        </is>
      </c>
      <c r="D15" s="41" t="inlineStr">
        <is>
          <t>Formula (=Site*1,000)</t>
        </is>
      </c>
      <c r="E15" s="42" t="inlineStr">
        <is>
          <t>Aggregate Year-1 Capex commitment for Phase 1 priority rollout (1,000 BTS sites).</t>
        </is>
      </c>
    </row>
    <row r="16">
      <c r="A16" s="43" t="inlineStr">
        <is>
          <t>Lot 1 - RAN &amp; Rollout</t>
        </is>
      </c>
      <c r="B16" s="43" t="inlineStr">
        <is>
          <t>Program Total (5,000 Sites)</t>
        </is>
      </c>
      <c r="C16" s="44" t="inlineStr">
        <is>
          <t>Currency ($ USD)</t>
        </is>
      </c>
      <c r="D16" s="45" t="inlineStr">
        <is>
          <t>Formula (=Site*5,000)</t>
        </is>
      </c>
      <c r="E16" s="46" t="inlineStr">
        <is>
          <t>Full 5-year nationwide network Capex commitment across all 5,000 macro sites.</t>
        </is>
      </c>
    </row>
    <row r="17">
      <c r="A17" s="39" t="inlineStr">
        <is>
          <t>Lot 1 - RAN &amp; Rollout</t>
        </is>
      </c>
      <c r="B17" s="39" t="inlineStr">
        <is>
          <t>Remarks / Bidder Model</t>
        </is>
      </c>
      <c r="C17" s="40" t="inlineStr">
        <is>
          <t>Text / Alphanumeric</t>
        </is>
      </c>
      <c r="D17" s="41" t="inlineStr">
        <is>
          <t>Bidder Notes</t>
        </is>
      </c>
      <c r="E17" s="42" t="inlineStr">
        <is>
          <t>Bidder equipment model numbers, hardware datasheets, and compliance cross-references.</t>
        </is>
      </c>
    </row>
    <row r="18">
      <c r="A18" s="43" t="inlineStr">
        <is>
          <t>Lot 2 - Power &amp; Passive</t>
        </is>
      </c>
      <c r="B18" s="43" t="inlineStr">
        <is>
          <t>Item Code</t>
        </is>
      </c>
      <c r="C18" s="44" t="inlineStr">
        <is>
          <t>Alphanumeric Code</t>
        </is>
      </c>
      <c r="D18" s="45" t="inlineStr">
        <is>
          <t>Mandatory Code</t>
        </is>
      </c>
      <c r="E18" s="46" t="inlineStr">
        <is>
          <t>Reference identifier for power systems, batteries, standby generators, and civil monopoles (PWR-01, CIV-01).</t>
        </is>
      </c>
    </row>
    <row r="19">
      <c r="A19" s="39" t="inlineStr">
        <is>
          <t>Lot 2 - Power &amp; Passive</t>
        </is>
      </c>
      <c r="B19" s="39" t="inlineStr">
        <is>
          <t>Equipment Description</t>
        </is>
      </c>
      <c r="C19" s="40" t="inlineStr">
        <is>
          <t>Text Description</t>
        </is>
      </c>
      <c r="D19" s="41" t="inlineStr">
        <is>
          <t>Specification</t>
        </is>
      </c>
      <c r="E19" s="42" t="inlineStr">
        <is>
          <t>Component name (12.0 kW DC Rectifier Plant, LiFePO4 battery bank &gt;=4h @ 3.0 kW autonomy [&gt;=20.0 kWh nom / 400 Ah @ 48V], 15kVA genset, 30m monopole).</t>
        </is>
      </c>
    </row>
    <row r="20">
      <c r="A20" s="43" t="inlineStr">
        <is>
          <t>Lot 2 - Power &amp; Passive</t>
        </is>
      </c>
      <c r="B20" s="43" t="inlineStr">
        <is>
          <t>Technical Specification</t>
        </is>
      </c>
      <c r="C20" s="44" t="inlineStr">
        <is>
          <t>Text Description</t>
        </is>
      </c>
      <c r="D20" s="45" t="inlineStr">
        <is>
          <t>Compliance Basis</t>
        </is>
      </c>
      <c r="E20" s="46" t="inlineStr">
        <is>
          <t>Performance benchmarks: 96% rectifier efficiency (4x 3.0 kW, N+1 12.0 kW total), &gt;= 20.0 kWh nominal LiFePO4 battery storage delivering 4.0h autonomy at 3.0 kW load (&lt;=80% DoD, 80% EOL SoH, loss-based calculation), 15 kVA genset with 72h fuel tank, Class 1.0 revenue submeter.</t>
        </is>
      </c>
    </row>
    <row r="21">
      <c r="A21" s="39" t="inlineStr">
        <is>
          <t>Lot 2 - Power &amp; Passive</t>
        </is>
      </c>
      <c r="B21" s="39" t="inlineStr">
        <is>
          <t>Application</t>
        </is>
      </c>
      <c r="C21" s="40" t="inlineStr">
        <is>
          <t>Category</t>
        </is>
      </c>
      <c r="D21" s="41" t="inlineStr">
        <is>
          <t>Siting Condition</t>
        </is>
      </c>
      <c r="E21" s="42" t="inlineStr">
        <is>
          <t>Applicable site typology: Co-location (Classes T1-T3) vs Greenfield (Class T4).</t>
        </is>
      </c>
    </row>
    <row r="22">
      <c r="A22" s="43" t="inlineStr">
        <is>
          <t>Lot 2 - Power &amp; Passive</t>
        </is>
      </c>
      <c r="B22" s="43" t="inlineStr">
        <is>
          <t>UoM</t>
        </is>
      </c>
      <c r="C22" s="44" t="inlineStr">
        <is>
          <t>Unit of Measure</t>
        </is>
      </c>
      <c r="D22" s="45" t="inlineStr">
        <is>
          <t>Standard UoM</t>
        </is>
      </c>
      <c r="E22" s="46" t="inlineStr">
        <is>
          <t>Billing unit: set, site, or lot.</t>
        </is>
      </c>
    </row>
    <row r="23">
      <c r="A23" s="39" t="inlineStr">
        <is>
          <t>Lot 2 - Power &amp; Passive</t>
        </is>
      </c>
      <c r="B23" s="39" t="inlineStr">
        <is>
          <t>Phase 1 Qty</t>
        </is>
      </c>
      <c r="C23" s="40" t="inlineStr">
        <is>
          <t>Integer</t>
        </is>
      </c>
      <c r="D23" s="41" t="inlineStr">
        <is>
          <t>Volume Quantity</t>
        </is>
      </c>
      <c r="E23" s="42" t="inlineStr">
        <is>
          <t>Phase 1 target deployment quantity (1,000 rectifiers/batteries, 897 tap boxes, 103 gensets/monopoles).</t>
        </is>
      </c>
    </row>
    <row r="24">
      <c r="A24" s="43" t="inlineStr">
        <is>
          <t>Lot 2 - Power &amp; Passive</t>
        </is>
      </c>
      <c r="B24" s="43" t="inlineStr">
        <is>
          <t>Unit Rate (USD)</t>
        </is>
      </c>
      <c r="C24" s="44" t="inlineStr">
        <is>
          <t>Currency ($ USD)</t>
        </is>
      </c>
      <c r="D24" s="47" t="inlineStr">
        <is>
          <t>BIDDER TO QUOTE</t>
        </is>
      </c>
      <c r="E24" s="46" t="inlineStr">
        <is>
          <t>Firm unit rate quoted by Bidder in US Dollars (Yellow input cells).</t>
        </is>
      </c>
    </row>
    <row r="25">
      <c r="A25" s="39" t="inlineStr">
        <is>
          <t>Lot 2 - Power &amp; Passive</t>
        </is>
      </c>
      <c r="B25" s="39" t="inlineStr">
        <is>
          <t>Unit Rate (PHP @ 55)</t>
        </is>
      </c>
      <c r="C25" s="40" t="inlineStr">
        <is>
          <t>Currency (PHP ₱)</t>
        </is>
      </c>
      <c r="D25" s="41" t="inlineStr">
        <is>
          <t>Formula (=USD*55)</t>
        </is>
      </c>
      <c r="E25" s="42" t="inlineStr">
        <is>
          <t>Equivalent local currency amount converted at baseline foreign exchange rate of 55.00 PHP/USD.</t>
        </is>
      </c>
    </row>
    <row r="26">
      <c r="A26" s="43" t="inlineStr">
        <is>
          <t>Lot 2 - Power &amp; Passive</t>
        </is>
      </c>
      <c r="B26" s="43" t="inlineStr">
        <is>
          <t>Phase 1 Total (USD)</t>
        </is>
      </c>
      <c r="C26" s="44" t="inlineStr">
        <is>
          <t>Currency ($ USD)</t>
        </is>
      </c>
      <c r="D26" s="45" t="inlineStr">
        <is>
          <t>Formula (=Qty*Rate)</t>
        </is>
      </c>
      <c r="E26" s="46" t="inlineStr">
        <is>
          <t>Total Phase 1 capital expenditure for Lot 2 power and passive infrastructure.</t>
        </is>
      </c>
    </row>
    <row r="27">
      <c r="A27" s="39" t="inlineStr">
        <is>
          <t>Lot 2 - Power &amp; Passive</t>
        </is>
      </c>
      <c r="B27" s="39" t="inlineStr">
        <is>
          <t>Remarks / Bidder Model</t>
        </is>
      </c>
      <c r="C27" s="40" t="inlineStr">
        <is>
          <t>Text</t>
        </is>
      </c>
      <c r="D27" s="41" t="inlineStr">
        <is>
          <t>Bidder Notes</t>
        </is>
      </c>
      <c r="E27" s="42" t="inlineStr">
        <is>
          <t>Manufacturer make, model, physical dimensions, and battery cycle life curves.</t>
        </is>
      </c>
    </row>
    <row r="28">
      <c r="A28" s="43" t="inlineStr">
        <is>
          <t>Lot 3 - 5G Core</t>
        </is>
      </c>
      <c r="B28" s="43" t="inlineStr">
        <is>
          <t>Item Code</t>
        </is>
      </c>
      <c r="C28" s="44" t="inlineStr">
        <is>
          <t>Alphanumeric Code</t>
        </is>
      </c>
      <c r="D28" s="45" t="inlineStr">
        <is>
          <t>Mandatory Code</t>
        </is>
      </c>
      <c r="E28" s="46" t="inlineStr">
        <is>
          <t>Core hardware and software component code (5GC-HW-01 servers, 5GC-SW-01 1M sub license).</t>
        </is>
      </c>
    </row>
    <row r="29">
      <c r="A29" s="39" t="inlineStr">
        <is>
          <t>Lot 3 - 5G Core</t>
        </is>
      </c>
      <c r="B29" s="39" t="inlineStr">
        <is>
          <t>Core Subsystem</t>
        </is>
      </c>
      <c r="C29" s="40" t="inlineStr">
        <is>
          <t>Text Description</t>
        </is>
      </c>
      <c r="D29" s="41" t="inlineStr">
        <is>
          <t>Subsystem Name</t>
        </is>
      </c>
      <c r="E29" s="42" t="inlineStr">
        <is>
          <t>Functional domain: Compute servers, UPF line-rate nodes, DC leaf-spine fabric, or 5GC SBA software.</t>
        </is>
      </c>
    </row>
    <row r="30">
      <c r="A30" s="43" t="inlineStr">
        <is>
          <t>Lot 3 - 5G Core</t>
        </is>
      </c>
      <c r="B30" s="43" t="inlineStr">
        <is>
          <t>Functional Description &amp; Sizing</t>
        </is>
      </c>
      <c r="C30" s="44" t="inlineStr">
        <is>
          <t>Text Description</t>
        </is>
      </c>
      <c r="D30" s="45" t="inlineStr">
        <is>
          <t>Dimensioning</t>
        </is>
      </c>
      <c r="E30" s="46" t="inlineStr">
        <is>
          <t>Capacity requirements: 80 Gbps usable throughput/node, inline CG-NAT, 1,000,000 registered subscribers.</t>
        </is>
      </c>
    </row>
    <row r="31">
      <c r="A31" s="39" t="inlineStr">
        <is>
          <t>Lot 3 - 5G Core</t>
        </is>
      </c>
      <c r="B31" s="39" t="inlineStr">
        <is>
          <t>Licensing / Delivery</t>
        </is>
      </c>
      <c r="C31" s="40" t="inlineStr">
        <is>
          <t>Commercial Type</t>
        </is>
      </c>
      <c r="D31" s="41" t="inlineStr">
        <is>
          <t>License Model</t>
        </is>
      </c>
      <c r="E31" s="42" t="inlineStr">
        <is>
          <t>Commercial model: Hardware Purchase, Perpetual Software License, or Professional Services.</t>
        </is>
      </c>
    </row>
    <row r="32">
      <c r="A32" s="43" t="inlineStr">
        <is>
          <t>Lot 3 - 5G Core</t>
        </is>
      </c>
      <c r="B32" s="43" t="inlineStr">
        <is>
          <t>UoM</t>
        </is>
      </c>
      <c r="C32" s="44" t="inlineStr">
        <is>
          <t>Unit of Measure</t>
        </is>
      </c>
      <c r="D32" s="45" t="inlineStr">
        <is>
          <t>Standard UoM</t>
        </is>
      </c>
      <c r="E32" s="46" t="inlineStr">
        <is>
          <t>Billing unit: lot, system, or perpetual license.</t>
        </is>
      </c>
    </row>
    <row r="33">
      <c r="A33" s="39" t="inlineStr">
        <is>
          <t>Lot 3 - 5G Core</t>
        </is>
      </c>
      <c r="B33" s="39" t="inlineStr">
        <is>
          <t>Year 1 Price (USD)</t>
        </is>
      </c>
      <c r="C33" s="40" t="inlineStr">
        <is>
          <t>Currency ($ USD)</t>
        </is>
      </c>
      <c r="D33" s="47" t="inlineStr">
        <is>
          <t>BIDDER TO QUOTE</t>
        </is>
      </c>
      <c r="E33" s="42" t="inlineStr">
        <is>
          <t>Total Year-1 turnkey price quoted by Bidder for dual-datacenter active-active deployment.</t>
        </is>
      </c>
    </row>
    <row r="34">
      <c r="A34" s="43" t="inlineStr">
        <is>
          <t>Lot 3 - 5G Core</t>
        </is>
      </c>
      <c r="B34" s="43" t="inlineStr">
        <is>
          <t>Annual AMC %</t>
        </is>
      </c>
      <c r="C34" s="44" t="inlineStr">
        <is>
          <t>Percentage (%)</t>
        </is>
      </c>
      <c r="D34" s="47" t="inlineStr">
        <is>
          <t>BIDDER TO QUOTE</t>
        </is>
      </c>
      <c r="E34" s="46" t="inlineStr">
        <is>
          <t>Annual Maintenance Contract support percentage quoted by Bidder for software &amp; hardware.</t>
        </is>
      </c>
    </row>
    <row r="35">
      <c r="A35" s="39" t="inlineStr">
        <is>
          <t>Lot 3 - 5G Core</t>
        </is>
      </c>
      <c r="B35" s="39" t="inlineStr">
        <is>
          <t>Remarks / Bidder Model</t>
        </is>
      </c>
      <c r="C35" s="40" t="inlineStr">
        <is>
          <t>Text</t>
        </is>
      </c>
      <c r="D35" s="41" t="inlineStr">
        <is>
          <t>Bidder Notes</t>
        </is>
      </c>
      <c r="E35" s="42" t="inlineStr">
        <is>
          <t>Server hardware specifications, VNF/CNF container architecture, and throughput benchmarks.</t>
        </is>
      </c>
    </row>
    <row r="36">
      <c r="A36" s="43" t="inlineStr">
        <is>
          <t>Lot 4 - OSS-BSS</t>
        </is>
      </c>
      <c r="B36" s="43" t="inlineStr">
        <is>
          <t>Item Code</t>
        </is>
      </c>
      <c r="C36" s="44" t="inlineStr">
        <is>
          <t>Alphanumeric Code</t>
        </is>
      </c>
      <c r="D36" s="45" t="inlineStr">
        <is>
          <t>Mandatory Code</t>
        </is>
      </c>
      <c r="E36" s="46" t="inlineStr">
        <is>
          <t>OSS/BSS module code (BSS-01 CRM, BSS-02 CHF Charging, OSS-01 Field Force FMS, OSS-03 WMS).</t>
        </is>
      </c>
    </row>
    <row r="37">
      <c r="A37" s="39" t="inlineStr">
        <is>
          <t>Lot 4 - OSS-BSS</t>
        </is>
      </c>
      <c r="B37" s="39" t="inlineStr">
        <is>
          <t>OSS/BSS Functional Module</t>
        </is>
      </c>
      <c r="C37" s="40" t="inlineStr">
        <is>
          <t>Text Description</t>
        </is>
      </c>
      <c r="D37" s="41" t="inlineStr">
        <is>
          <t>Module Name</t>
        </is>
      </c>
      <c r="E37" s="42" t="inlineStr">
        <is>
          <t>Subsystem functional title: CRM, Rating Engine, Payment Gateway, FMS, or Fault Management.</t>
        </is>
      </c>
    </row>
    <row r="38">
      <c r="A38" s="43" t="inlineStr">
        <is>
          <t>Lot 4 - OSS-BSS</t>
        </is>
      </c>
      <c r="B38" s="43" t="inlineStr">
        <is>
          <t>Functional Scope &amp; Volume Driver</t>
        </is>
      </c>
      <c r="C38" s="44" t="inlineStr">
        <is>
          <t>Text Description</t>
        </is>
      </c>
      <c r="D38" s="45" t="inlineStr">
        <is>
          <t>Volume Sizing</t>
        </is>
      </c>
      <c r="E38" s="46" t="inlineStr">
        <is>
          <t>Scale driver: 4 retail tariffs + SME, real-time Nchf charging, 3,500 daily work orders, 70% CPE reverse logistics.</t>
        </is>
      </c>
    </row>
    <row r="39">
      <c r="A39" s="39" t="inlineStr">
        <is>
          <t>Lot 4 - OSS-BSS</t>
        </is>
      </c>
      <c r="B39" s="39" t="inlineStr">
        <is>
          <t>License Type</t>
        </is>
      </c>
      <c r="C39" s="40" t="inlineStr">
        <is>
          <t>Commercial Type</t>
        </is>
      </c>
      <c r="D39" s="41" t="inlineStr">
        <is>
          <t>License Model</t>
        </is>
      </c>
      <c r="E39" s="42" t="inlineStr">
        <is>
          <t>Licensing model: Perpetual Enterprise, Integration Module, or Professional Services.</t>
        </is>
      </c>
    </row>
    <row r="40">
      <c r="A40" s="43" t="inlineStr">
        <is>
          <t>Lot 4 - OSS-BSS</t>
        </is>
      </c>
      <c r="B40" s="43" t="inlineStr">
        <is>
          <t>UoM</t>
        </is>
      </c>
      <c r="C40" s="44" t="inlineStr">
        <is>
          <t>Unit of Measure</t>
        </is>
      </c>
      <c r="D40" s="45" t="inlineStr">
        <is>
          <t>Standard UoM</t>
        </is>
      </c>
      <c r="E40" s="46" t="inlineStr">
        <is>
          <t>Billing unit: lot, platform, or enterprise license.</t>
        </is>
      </c>
    </row>
    <row r="41">
      <c r="A41" s="39" t="inlineStr">
        <is>
          <t>Lot 4 - OSS-BSS</t>
        </is>
      </c>
      <c r="B41" s="39" t="inlineStr">
        <is>
          <t>Year 1 Price (USD)</t>
        </is>
      </c>
      <c r="C41" s="40" t="inlineStr">
        <is>
          <t>Currency ($ USD)</t>
        </is>
      </c>
      <c r="D41" s="47" t="inlineStr">
        <is>
          <t>BIDDER TO QUOTE</t>
        </is>
      </c>
      <c r="E41" s="42" t="inlineStr">
        <is>
          <t>Turnkey Year-1 Capex quoted by Bidder for 1,000,000 registered subscribers.</t>
        </is>
      </c>
    </row>
    <row r="42">
      <c r="A42" s="43" t="inlineStr">
        <is>
          <t>Lot 4 - OSS-BSS</t>
        </is>
      </c>
      <c r="B42" s="43" t="inlineStr">
        <is>
          <t>Annual AMC %</t>
        </is>
      </c>
      <c r="C42" s="44" t="inlineStr">
        <is>
          <t>Percentage (%)</t>
        </is>
      </c>
      <c r="D42" s="47" t="inlineStr">
        <is>
          <t>BIDDER TO QUOTE</t>
        </is>
      </c>
      <c r="E42" s="46" t="inlineStr">
        <is>
          <t>Annual software support fee percentage quoted by Bidder.</t>
        </is>
      </c>
    </row>
    <row r="43">
      <c r="A43" s="39" t="inlineStr">
        <is>
          <t>Lot 4 - OSS-BSS</t>
        </is>
      </c>
      <c r="B43" s="39" t="inlineStr">
        <is>
          <t>Remarks / Bidder Model</t>
        </is>
      </c>
      <c r="C43" s="40" t="inlineStr">
        <is>
          <t>Text</t>
        </is>
      </c>
      <c r="D43" s="41" t="inlineStr">
        <is>
          <t>Bidder Notes</t>
        </is>
      </c>
      <c r="E43" s="42" t="inlineStr">
        <is>
          <t>Architecture framework, TM Forum Open API compliance, and cloud deployment requirements.</t>
        </is>
      </c>
    </row>
    <row r="44">
      <c r="A44" s="43" t="inlineStr">
        <is>
          <t>Lot 5 - Site Acq &amp; Civils</t>
        </is>
      </c>
      <c r="B44" s="43" t="inlineStr">
        <is>
          <t>Item Code</t>
        </is>
      </c>
      <c r="C44" s="44" t="inlineStr">
        <is>
          <t>Alphanumeric Code</t>
        </is>
      </c>
      <c r="D44" s="45" t="inlineStr">
        <is>
          <t>Mandatory Code</t>
        </is>
      </c>
      <c r="E44" s="46" t="inlineStr">
        <is>
          <t>Reference code for site acquisition, permitting, pad foundation, compound fencing, grounding grid, monopole, and RF optimization (CIV-SVC-01 to CIV-SVC-09).</t>
        </is>
      </c>
    </row>
    <row r="45">
      <c r="A45" s="39" t="inlineStr">
        <is>
          <t>Lot 5 - Site Acq &amp; Civils</t>
        </is>
      </c>
      <c r="B45" s="39" t="inlineStr">
        <is>
          <t>Service / Works Description</t>
        </is>
      </c>
      <c r="C45" s="40" t="inlineStr">
        <is>
          <t>Text Description</t>
        </is>
      </c>
      <c r="D45" s="41" t="inlineStr">
        <is>
          <t>Specification</t>
        </is>
      </c>
      <c r="E45" s="42" t="inlineStr">
        <is>
          <t>Scope title for site engineering, permitting, civil construction, and RF design optimization works.</t>
        </is>
      </c>
    </row>
    <row r="46">
      <c r="A46" s="43" t="inlineStr">
        <is>
          <t>Lot 5 - Site Acq &amp; Civils</t>
        </is>
      </c>
      <c r="B46" s="43" t="inlineStr">
        <is>
          <t>Detailed Scope &amp; Technical Specification</t>
        </is>
      </c>
      <c r="C46" s="44" t="inlineStr">
        <is>
          <t>Text Description</t>
        </is>
      </c>
      <c r="D46" s="45" t="inlineStr">
        <is>
          <t>Scope Definition</t>
        </is>
      </c>
      <c r="E46" s="46" t="inlineStr">
        <is>
          <t>Mandatory engineering parameters: TSSR structural audit, 8x8m compound, pad foundations, 250 km/h wind rating, &lt;=5 Ohm ground ring, 3D ray-tracing design.</t>
        </is>
      </c>
    </row>
    <row r="47">
      <c r="A47" s="39" t="inlineStr">
        <is>
          <t>Lot 5 - Site Acq &amp; Civils</t>
        </is>
      </c>
      <c r="B47" s="39" t="inlineStr">
        <is>
          <t>Application</t>
        </is>
      </c>
      <c r="C47" s="40" t="inlineStr">
        <is>
          <t>Category</t>
        </is>
      </c>
      <c r="D47" s="41" t="inlineStr">
        <is>
          <t>Siting Typology</t>
        </is>
      </c>
      <c r="E47" s="42" t="inlineStr">
        <is>
          <t>Siting condition: Leased TowerCo co-locations (897 sites), Greenfield Monopoles (103 Class T4 sites), or All Sites (1,000 footprint).</t>
        </is>
      </c>
    </row>
    <row r="48">
      <c r="A48" s="43" t="inlineStr">
        <is>
          <t>Lot 5 - Site Acq &amp; Civils</t>
        </is>
      </c>
      <c r="B48" s="43" t="inlineStr">
        <is>
          <t>UoM</t>
        </is>
      </c>
      <c r="C48" s="44" t="inlineStr">
        <is>
          <t>Unit of Measure</t>
        </is>
      </c>
      <c r="D48" s="45" t="inlineStr">
        <is>
          <t>Standard UoM</t>
        </is>
      </c>
      <c r="E48" s="46" t="inlineStr">
        <is>
          <t>Commercial billing unit: site, set, or lot.</t>
        </is>
      </c>
    </row>
    <row r="49">
      <c r="A49" s="39" t="inlineStr">
        <is>
          <t>Lot 5 - Site Acq &amp; Civils</t>
        </is>
      </c>
      <c r="B49" s="39" t="inlineStr">
        <is>
          <t>Phase 1 Qty</t>
        </is>
      </c>
      <c r="C49" s="40" t="inlineStr">
        <is>
          <t>Integer</t>
        </is>
      </c>
      <c r="D49" s="41" t="inlineStr">
        <is>
          <t>Volume Quantity</t>
        </is>
      </c>
      <c r="E49" s="42" t="inlineStr">
        <is>
          <t>Total quantity deployed in Phase 1 (e.g. 1,000 TSSRs, 103 greenfield compounds, 897 equipment pads).</t>
        </is>
      </c>
    </row>
    <row r="50">
      <c r="A50" s="43" t="inlineStr">
        <is>
          <t>Lot 5 - Site Acq &amp; Civils</t>
        </is>
      </c>
      <c r="B50" s="43" t="inlineStr">
        <is>
          <t>Unit Rate (USD)</t>
        </is>
      </c>
      <c r="C50" s="44" t="inlineStr">
        <is>
          <t>Currency ($ USD)</t>
        </is>
      </c>
      <c r="D50" s="47" t="inlineStr">
        <is>
          <t>BIDDER TO QUOTE</t>
        </is>
      </c>
      <c r="E50" s="46" t="inlineStr">
        <is>
          <t>Firm turnkey service or civil unit rate quoted by Bidder in US Dollars (Yellow input cells).</t>
        </is>
      </c>
    </row>
    <row r="51">
      <c r="A51" s="39" t="inlineStr">
        <is>
          <t>Lot 5 - Site Acq &amp; Civils</t>
        </is>
      </c>
      <c r="B51" s="39" t="inlineStr">
        <is>
          <t>Unit Rate (PHP @ 55)</t>
        </is>
      </c>
      <c r="C51" s="40" t="inlineStr">
        <is>
          <t>Currency (PHP ₱)</t>
        </is>
      </c>
      <c r="D51" s="41" t="inlineStr">
        <is>
          <t>Formula (=USD*55)</t>
        </is>
      </c>
      <c r="E51" s="42" t="inlineStr">
        <is>
          <t>Equivalent Philippine Peso rate calculated at baseline exchange rate of 55.00 PHP/USD.</t>
        </is>
      </c>
    </row>
    <row r="52">
      <c r="A52" s="43" t="inlineStr">
        <is>
          <t>Lot 5 - Site Acq &amp; Civils</t>
        </is>
      </c>
      <c r="B52" s="43" t="inlineStr">
        <is>
          <t>Phase 1 Total (USD)</t>
        </is>
      </c>
      <c r="C52" s="44" t="inlineStr">
        <is>
          <t>Currency ($ USD)</t>
        </is>
      </c>
      <c r="D52" s="45" t="inlineStr">
        <is>
          <t>Formula (=Qty*Rate)</t>
        </is>
      </c>
      <c r="E52" s="46" t="inlineStr">
        <is>
          <t>Total Phase 1 capital expenditure for site civil and acquisition services.</t>
        </is>
      </c>
    </row>
    <row r="53">
      <c r="A53" s="39" t="inlineStr">
        <is>
          <t>Lot 5 - Site Acq &amp; Civils</t>
        </is>
      </c>
      <c r="B53" s="39" t="inlineStr">
        <is>
          <t>Remarks / Bidder Methodology</t>
        </is>
      </c>
      <c r="C53" s="40" t="inlineStr">
        <is>
          <t>Text Description</t>
        </is>
      </c>
      <c r="D53" s="41" t="inlineStr">
        <is>
          <t>Bidder Notes</t>
        </is>
      </c>
      <c r="E53" s="42" t="inlineStr">
        <is>
          <t>Contractor mobilization strategy, civil construction timeline, and local subcontractor references.</t>
        </is>
      </c>
    </row>
    <row r="54">
      <c r="A54" s="43" t="inlineStr">
        <is>
          <t>Lot 6 - Managed Services</t>
        </is>
      </c>
      <c r="B54" s="43" t="inlineStr">
        <is>
          <t>Item Code</t>
        </is>
      </c>
      <c r="C54" s="44" t="inlineStr">
        <is>
          <t>Alphanumeric Code</t>
        </is>
      </c>
      <c r="D54" s="45" t="inlineStr">
        <is>
          <t>Mandatory Code</t>
        </is>
      </c>
      <c r="E54" s="46" t="inlineStr">
        <is>
          <t>Managed services operational scope code (MS-01 NOC, MS-02 FLM, MS-03 PM, MS-04 SPMS, MS-05 Genset).</t>
        </is>
      </c>
    </row>
    <row r="55">
      <c r="A55" s="39" t="inlineStr">
        <is>
          <t>Lot 6 - Managed Services</t>
        </is>
      </c>
      <c r="B55" s="39" t="inlineStr">
        <is>
          <t>Service Domain</t>
        </is>
      </c>
      <c r="C55" s="40" t="inlineStr">
        <is>
          <t>Text Description</t>
        </is>
      </c>
      <c r="D55" s="41" t="inlineStr">
        <is>
          <t>Scope Area</t>
        </is>
      </c>
      <c r="E55" s="42" t="inlineStr">
        <is>
          <t>Operational responsibility domain: 24/7 NOC surveillance, field maintenance, preventive checks, spares.</t>
        </is>
      </c>
    </row>
    <row r="56">
      <c r="A56" s="43" t="inlineStr">
        <is>
          <t>Lot 6 - Managed Services</t>
        </is>
      </c>
      <c r="B56" s="43" t="inlineStr">
        <is>
          <t>Operational Scope of Work</t>
        </is>
      </c>
      <c r="C56" s="44" t="inlineStr">
        <is>
          <t>Text Description</t>
        </is>
      </c>
      <c r="D56" s="45" t="inlineStr">
        <is>
          <t>Service Scope</t>
        </is>
      </c>
      <c r="E56" s="46" t="inlineStr">
        <is>
          <t>Detailed SLA scope: Continuous alarm monitoring, 2-4 hr MTTR, quarterly site audits, NBD spares delivery.</t>
        </is>
      </c>
    </row>
    <row r="57">
      <c r="A57" s="39" t="inlineStr">
        <is>
          <t>Lot 6 - Managed Services</t>
        </is>
      </c>
      <c r="B57" s="39" t="inlineStr">
        <is>
          <t>SLA Target</t>
        </is>
      </c>
      <c r="C57" s="40" t="inlineStr">
        <is>
          <t>SLA Target</t>
        </is>
      </c>
      <c r="D57" s="41" t="inlineStr">
        <is>
          <t>Binding Metric</t>
        </is>
      </c>
      <c r="E57" s="42" t="inlineStr">
        <is>
          <t>SLA metric: 99.95% Target (99.70% Min Contractual Floor), MTTR &lt;= 2h Urban / &lt;= 4h Rural, 100% PM completion.</t>
        </is>
      </c>
    </row>
    <row r="58">
      <c r="A58" s="43" t="inlineStr">
        <is>
          <t>Lot 6 - Managed Services</t>
        </is>
      </c>
      <c r="B58" s="43" t="inlineStr">
        <is>
          <t>Monthly Rate / Site (PHP)</t>
        </is>
      </c>
      <c r="C58" s="44" t="inlineStr">
        <is>
          <t>Currency (PHP ₱)</t>
        </is>
      </c>
      <c r="D58" s="47" t="inlineStr">
        <is>
          <t>BIDDER TO QUOTE</t>
        </is>
      </c>
      <c r="E58" s="46" t="inlineStr">
        <is>
          <t>Firm monthly operational managed service fee per active BTS site quoted by Bidder in PHP.</t>
        </is>
      </c>
    </row>
    <row r="59">
      <c r="A59" s="39" t="inlineStr">
        <is>
          <t>Lot 6 - Managed Services</t>
        </is>
      </c>
      <c r="B59" s="39" t="inlineStr">
        <is>
          <t>Monthly Rate (USD @ 55)</t>
        </is>
      </c>
      <c r="C59" s="40" t="inlineStr">
        <is>
          <t>Currency ($ USD)</t>
        </is>
      </c>
      <c r="D59" s="41" t="inlineStr">
        <is>
          <t>Formula (=PHP/55)</t>
        </is>
      </c>
      <c r="E59" s="42" t="inlineStr">
        <is>
          <t>Monthly rate per site converted to USD at 55.00 baseline FX.</t>
        </is>
      </c>
    </row>
    <row r="60">
      <c r="A60" s="43" t="inlineStr">
        <is>
          <t>Lot 6 - Managed Services</t>
        </is>
      </c>
      <c r="B60" s="43" t="inlineStr">
        <is>
          <t>Annual Cost / Site (USD)</t>
        </is>
      </c>
      <c r="C60" s="44" t="inlineStr">
        <is>
          <t>Currency ($ USD)</t>
        </is>
      </c>
      <c r="D60" s="45" t="inlineStr">
        <is>
          <t>Formula (=USD*12)</t>
        </is>
      </c>
      <c r="E60" s="46" t="inlineStr">
        <is>
          <t>Annualized active telecom O&amp;M cost per site.</t>
        </is>
      </c>
    </row>
    <row r="61">
      <c r="A61" s="39" t="inlineStr">
        <is>
          <t>Lot 6 - Managed Services</t>
        </is>
      </c>
      <c r="B61" s="39" t="inlineStr">
        <is>
          <t>Remarks</t>
        </is>
      </c>
      <c r="C61" s="40" t="inlineStr">
        <is>
          <t>Text</t>
        </is>
      </c>
      <c r="D61" s="41" t="inlineStr">
        <is>
          <t>Bidder Notes</t>
        </is>
      </c>
      <c r="E61" s="42" t="inlineStr">
        <is>
          <t>Staffing dimensioning, field depot locations, and escalation management details.</t>
        </is>
      </c>
    </row>
    <row r="62">
      <c r="A62" s="43" t="inlineStr">
        <is>
          <t>Lot 7 - 5G CPE</t>
        </is>
      </c>
      <c r="B62" s="43" t="inlineStr">
        <is>
          <t>Item Code</t>
        </is>
      </c>
      <c r="C62" s="44" t="inlineStr">
        <is>
          <t>Alphanumeric Code</t>
        </is>
      </c>
      <c r="D62" s="45" t="inlineStr">
        <is>
          <t>Mandatory Code</t>
        </is>
      </c>
      <c r="E62" s="46" t="inlineStr">
        <is>
          <t>CPE terminal model reference code (CPE-01 Indoor Wi-Fi 6, CPE-02 Outdoor high gain, CPE-SVC Staging).</t>
        </is>
      </c>
    </row>
    <row r="63">
      <c r="A63" s="39" t="inlineStr">
        <is>
          <t>Lot 7 - 5G CPE</t>
        </is>
      </c>
      <c r="B63" s="39" t="inlineStr">
        <is>
          <t>CPE Terminal Model</t>
        </is>
      </c>
      <c r="C63" s="40" t="inlineStr">
        <is>
          <t>Text Description</t>
        </is>
      </c>
      <c r="D63" s="41" t="inlineStr">
        <is>
          <t>Device Model</t>
        </is>
      </c>
      <c r="E63" s="42" t="inlineStr">
        <is>
          <t>Commercial terminal description (Indoor 5G High-Gain Router, Outdoor IP67 Package with PoE and bundled Wi-Fi 6 router).</t>
        </is>
      </c>
    </row>
    <row r="64">
      <c r="A64" s="43" t="inlineStr">
        <is>
          <t>Lot 7 - 5G CPE</t>
        </is>
      </c>
      <c r="B64" s="43" t="inlineStr">
        <is>
          <t>Technical Specifications</t>
        </is>
      </c>
      <c r="C64" s="44" t="inlineStr">
        <is>
          <t>Text Description</t>
        </is>
      </c>
      <c r="D64" s="45" t="inlineStr">
        <is>
          <t>Device Spec</t>
        </is>
      </c>
      <c r="E64" s="46" t="inlineStr">
        <is>
          <t>3GPP R16 5G NR Band n50 native, 8-10 dBi internal antenna (&gt;=12 dBi outdoor), Wi-Fi 6 AX1800, 2.5GE port, TR-069 / TR-369.</t>
        </is>
      </c>
    </row>
    <row r="65">
      <c r="A65" s="39" t="inlineStr">
        <is>
          <t>Lot 7 - 5G CPE</t>
        </is>
      </c>
      <c r="B65" s="39" t="inlineStr">
        <is>
          <t>Target Order Qty (P1)</t>
        </is>
      </c>
      <c r="C65" s="40" t="inlineStr">
        <is>
          <t>Integer</t>
        </is>
      </c>
      <c r="D65" s="41" t="inlineStr">
        <is>
          <t>Volume Quantity</t>
        </is>
      </c>
      <c r="E65" s="42" t="inlineStr">
        <is>
          <t>Phase 1 baseline volume order: 350,000 indoor + 15,000 outdoor units (365,000 total terminals).</t>
        </is>
      </c>
    </row>
    <row r="66">
      <c r="A66" s="43" t="inlineStr">
        <is>
          <t>Lot 7 - 5G CPE</t>
        </is>
      </c>
      <c r="B66" s="43" t="inlineStr">
        <is>
          <t>UoM</t>
        </is>
      </c>
      <c r="C66" s="44" t="inlineStr">
        <is>
          <t>Unit of Measure</t>
        </is>
      </c>
      <c r="D66" s="45" t="inlineStr">
        <is>
          <t>Standard UoM</t>
        </is>
      </c>
      <c r="E66" s="46" t="inlineStr">
        <is>
          <t>Billing unit: units or devices.</t>
        </is>
      </c>
    </row>
    <row r="67">
      <c r="A67" s="39" t="inlineStr">
        <is>
          <t>Lot 7 - 5G CPE</t>
        </is>
      </c>
      <c r="B67" s="39" t="inlineStr">
        <is>
          <t>Unit Rate (USD)</t>
        </is>
      </c>
      <c r="C67" s="40" t="inlineStr">
        <is>
          <t>Currency ($ USD)</t>
        </is>
      </c>
      <c r="D67" s="47" t="inlineStr">
        <is>
          <t>BIDDER TO QUOTE</t>
        </is>
      </c>
      <c r="E67" s="42" t="inlineStr">
        <is>
          <t>Firm unit purchase price quoted by Bidder in volume packaging in USD (Yellow input cells).</t>
        </is>
      </c>
    </row>
    <row r="68">
      <c r="A68" s="43" t="inlineStr">
        <is>
          <t>Lot 7 - 5G CPE</t>
        </is>
      </c>
      <c r="B68" s="43" t="inlineStr">
        <is>
          <t>Total Phase 1 Cost (USD)</t>
        </is>
      </c>
      <c r="C68" s="44" t="inlineStr">
        <is>
          <t>Currency ($ USD)</t>
        </is>
      </c>
      <c r="D68" s="45" t="inlineStr">
        <is>
          <t>Formula (=Qty*Rate)</t>
        </is>
      </c>
      <c r="E68" s="46" t="inlineStr">
        <is>
          <t>Total initial CPE capital expenditure calculated from Bidder quoted unit rate.</t>
        </is>
      </c>
    </row>
    <row r="69">
      <c r="A69" s="39" t="inlineStr">
        <is>
          <t>Lot 7 - 5G CPE</t>
        </is>
      </c>
      <c r="B69" s="39" t="inlineStr">
        <is>
          <t>Remarks / Bidder Model</t>
        </is>
      </c>
      <c r="C69" s="40" t="inlineStr">
        <is>
          <t>Text</t>
        </is>
      </c>
      <c r="D69" s="41" t="inlineStr">
        <is>
          <t>Bidder Notes</t>
        </is>
      </c>
      <c r="E69" s="42" t="inlineStr">
        <is>
          <t>Offered manufacturer make, product model number, chipset platform, and lead times.</t>
        </is>
      </c>
    </row>
    <row r="70">
      <c r="A70" s="43" t="inlineStr">
        <is>
          <t>Form C - 10-Year TCO Schedule</t>
        </is>
      </c>
      <c r="B70" s="43" t="inlineStr">
        <is>
          <t>Cost Category / Lifecycle Element</t>
        </is>
      </c>
      <c r="C70" s="44" t="inlineStr">
        <is>
          <t>Text Description</t>
        </is>
      </c>
      <c r="D70" s="45" t="inlineStr">
        <is>
          <t>Category Identifier</t>
        </is>
      </c>
      <c r="E70" s="46" t="inlineStr">
        <is>
          <t>High-level Capex and Opex lifecycle cost domain covering RAN, Core, OSS/BSS, CPE, Tower Leases, Fiber Transmission, Spares, and Managed Services.</t>
        </is>
      </c>
    </row>
    <row r="71">
      <c r="A71" s="39" t="inlineStr">
        <is>
          <t>Form C - 10-Year TCO Schedule</t>
        </is>
      </c>
      <c r="B71" s="39" t="inlineStr">
        <is>
          <t>Phase 1 Capex (Yr 1)</t>
        </is>
      </c>
      <c r="C71" s="40" t="inlineStr">
        <is>
          <t>Currency ($ USD)</t>
        </is>
      </c>
      <c r="D71" s="41" t="inlineStr">
        <is>
          <t>Formula / Bidder Input</t>
        </is>
      </c>
      <c r="E71" s="42" t="inlineStr">
        <is>
          <t>Initial Phase 1 capital investment committed for Day-1 network footprint (1,000 macro BTS sites turnkey rollout across Lots 1, 2, and 5).</t>
        </is>
      </c>
    </row>
    <row r="72">
      <c r="A72" s="43" t="inlineStr">
        <is>
          <t>Form C - 10-Year TCO Schedule</t>
        </is>
      </c>
      <c r="B72" s="43" t="inlineStr">
        <is>
          <t>Yr 2</t>
        </is>
      </c>
      <c r="C72" s="44" t="inlineStr">
        <is>
          <t>Currency ($ USD)</t>
        </is>
      </c>
      <c r="D72" s="45" t="inlineStr">
        <is>
          <t>Formula / Bidder Input</t>
        </is>
      </c>
      <c r="E72" s="46" t="inlineStr">
        <is>
          <t>Year 2 network expansion capex, subscriber terminal additions, and operational lifecycle expenditure.</t>
        </is>
      </c>
    </row>
    <row r="73">
      <c r="A73" s="39" t="inlineStr">
        <is>
          <t>Form C - 10-Year TCO Schedule</t>
        </is>
      </c>
      <c r="B73" s="39" t="inlineStr">
        <is>
          <t>Yr 3</t>
        </is>
      </c>
      <c r="C73" s="40" t="inlineStr">
        <is>
          <t>Currency ($ USD)</t>
        </is>
      </c>
      <c r="D73" s="41" t="inlineStr">
        <is>
          <t>Formula / Bidder Input</t>
        </is>
      </c>
      <c r="E73" s="42" t="inlineStr">
        <is>
          <t>Year 3 network expansion capex, subscriber terminal additions, and operational lifecycle expenditure.</t>
        </is>
      </c>
    </row>
    <row r="74">
      <c r="A74" s="43" t="inlineStr">
        <is>
          <t>Form C - 10-Year TCO Schedule</t>
        </is>
      </c>
      <c r="B74" s="43" t="inlineStr">
        <is>
          <t>Yr 4</t>
        </is>
      </c>
      <c r="C74" s="44" t="inlineStr">
        <is>
          <t>Currency ($ USD)</t>
        </is>
      </c>
      <c r="D74" s="45" t="inlineStr">
        <is>
          <t>Formula / Bidder Input</t>
        </is>
      </c>
      <c r="E74" s="46" t="inlineStr">
        <is>
          <t>Year 4 network expansion capex, subscriber terminal additions, and operational lifecycle expenditure.</t>
        </is>
      </c>
    </row>
    <row r="75">
      <c r="A75" s="39" t="inlineStr">
        <is>
          <t>Form C - 10-Year TCO Schedule</t>
        </is>
      </c>
      <c r="B75" s="39" t="inlineStr">
        <is>
          <t>Yr 5</t>
        </is>
      </c>
      <c r="C75" s="40" t="inlineStr">
        <is>
          <t>Currency ($ USD)</t>
        </is>
      </c>
      <c r="D75" s="41" t="inlineStr">
        <is>
          <t>Formula / Bidder Input</t>
        </is>
      </c>
      <c r="E75" s="42" t="inlineStr">
        <is>
          <t>Year 5 network expansion capex reaching nationwide 5,000 sites and commercial terminal additions.</t>
        </is>
      </c>
    </row>
    <row r="76">
      <c r="A76" s="43" t="inlineStr">
        <is>
          <t>Form C - 10-Year TCO Schedule</t>
        </is>
      </c>
      <c r="B76" s="43" t="inlineStr">
        <is>
          <t>Yrs 6-10 Cumulative</t>
        </is>
      </c>
      <c r="C76" s="44" t="inlineStr">
        <is>
          <t>Currency ($ USD)</t>
        </is>
      </c>
      <c r="D76" s="45" t="inlineStr">
        <is>
          <t>Formula / Bidder Input</t>
        </is>
      </c>
      <c r="E76" s="46" t="inlineStr">
        <is>
          <t>Total cumulative lifecycle OPEX, hardware refresh, and software maintenance support across Years 6 through 10.</t>
        </is>
      </c>
    </row>
    <row r="77">
      <c r="A77" s="39" t="inlineStr">
        <is>
          <t>Form C - 10-Year TCO Schedule</t>
        </is>
      </c>
      <c r="B77" s="39" t="inlineStr">
        <is>
          <t>10-Year Total TCO (USD)</t>
        </is>
      </c>
      <c r="C77" s="40" t="inlineStr">
        <is>
          <t>Currency ($ USD)</t>
        </is>
      </c>
      <c r="D77" s="41" t="inlineStr">
        <is>
          <t>Formula (=SUM(Y1:Y10))</t>
        </is>
      </c>
      <c r="E77" s="42" t="inlineStr">
        <is>
          <t>Complete 10-year Total Cost of Ownership evaluating turnkey lifecycle economics for QCBS financial scoring.</t>
        </is>
      </c>
    </row>
    <row r="78">
      <c r="A78" s="43" t="inlineStr">
        <is>
          <t>Form C - 10-Year TCO Schedule</t>
        </is>
      </c>
      <c r="B78" s="43" t="inlineStr">
        <is>
          <t>Notes &amp; Pricing Assumptions</t>
        </is>
      </c>
      <c r="C78" s="44" t="inlineStr">
        <is>
          <t>Text Description</t>
        </is>
      </c>
      <c r="D78" s="45" t="inlineStr">
        <is>
          <t>Bidder Assumptions</t>
        </is>
      </c>
      <c r="E78" s="46" t="inlineStr">
        <is>
          <t>Underlying cost drivers, expansion pacing, discount structures, inflation assumptions, and software lifecycle renewals.</t>
        </is>
      </c>
    </row>
    <row r="79">
      <c r="A79" s="39" t="inlineStr">
        <is>
          <t>Form D - Vendor Financing</t>
        </is>
      </c>
      <c r="B79" s="39" t="inlineStr">
        <is>
          <t>Parameter Ref</t>
        </is>
      </c>
      <c r="C79" s="40" t="inlineStr">
        <is>
          <t>Alphanumeric Code</t>
        </is>
      </c>
      <c r="D79" s="41" t="inlineStr">
        <is>
          <t>Reference ID</t>
        </is>
      </c>
      <c r="E79" s="42" t="inlineStr">
        <is>
          <t>Financing covenant parameter identifier from FIN-01 to FIN-09.</t>
        </is>
      </c>
    </row>
    <row r="80">
      <c r="A80" s="43" t="inlineStr">
        <is>
          <t>Form D - Vendor Financing</t>
        </is>
      </c>
      <c r="B80" s="43" t="inlineStr">
        <is>
          <t>Financing Term / Condition</t>
        </is>
      </c>
      <c r="C80" s="44" t="inlineStr">
        <is>
          <t>Text Description</t>
        </is>
      </c>
      <c r="D80" s="45" t="inlineStr">
        <is>
          <t>Term Name</t>
        </is>
      </c>
      <c r="E80" s="46" t="inlineStr">
        <is>
          <t>Mandatory financing parameter: Structure, Quantum (% Capex), Downpayment, Tenor, Grace Period, Interest Rate, Repayment Cadence, Security/Pledge, Committee Approval.</t>
        </is>
      </c>
    </row>
    <row r="81">
      <c r="A81" s="39" t="inlineStr">
        <is>
          <t>Form D - Vendor Financing</t>
        </is>
      </c>
      <c r="B81" s="39" t="inlineStr">
        <is>
          <t>Operator Mandatory Requirement</t>
        </is>
      </c>
      <c r="C81" s="40" t="inlineStr">
        <is>
          <t>Text / Benchmark</t>
        </is>
      </c>
      <c r="D81" s="41" t="inlineStr">
        <is>
          <t>Mandatory Rule</t>
        </is>
      </c>
      <c r="E81" s="42" t="inlineStr">
        <is>
          <t>Mandatory parameters: &gt;=80.0% Capex debt, &lt;=20.0% downpayment, flexible facility tenor up to 20 years (minimum 4 years, 5+ years preferred), deferred principal repayment / grace period up to 10 years (minimum 12 months, 18+ months preferred), competitive benchmark to SOFR + spread or fixed &lt;= 6.50% p.a.</t>
        </is>
      </c>
    </row>
    <row r="82">
      <c r="A82" s="43" t="inlineStr">
        <is>
          <t>Form D - Vendor Financing</t>
        </is>
      </c>
      <c r="B82" s="43" t="inlineStr">
        <is>
          <t>Bidder Binding Offer [Bidder Input]</t>
        </is>
      </c>
      <c r="C82" s="44" t="inlineStr">
        <is>
          <t>Text / Values</t>
        </is>
      </c>
      <c r="D82" s="47" t="inlineStr">
        <is>
          <t>BIDDER TO COMPLETE</t>
        </is>
      </c>
      <c r="E82" s="46" t="inlineStr">
        <is>
          <t>Contractually binding financing terms proposed by the Bidder and financing syndicate (Yellow input cells).</t>
        </is>
      </c>
    </row>
    <row r="83">
      <c r="A83" s="39" t="inlineStr">
        <is>
          <t>Form D - Vendor Financing</t>
        </is>
      </c>
      <c r="B83" s="39" t="inlineStr">
        <is>
          <t>Compliance / Notes</t>
        </is>
      </c>
      <c r="C83" s="40" t="inlineStr">
        <is>
          <t>Text Description</t>
        </is>
      </c>
      <c r="D83" s="41" t="inlineStr">
        <is>
          <t>Bidder Notes</t>
        </is>
      </c>
      <c r="E83" s="42" t="inlineStr">
        <is>
          <t>Compliance confirmation (Compliant / Minor Deviation / Exception), ECA facility details (e.g. Sinosure, EKN, Finnvera, JBIC), term sheet references, and drawdown conditions.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85" customWidth="1" min="2" max="2"/>
  </cols>
  <sheetData>
    <row r="1">
      <c r="A1" s="1" t="inlineStr">
        <is>
          <t>REQUEST FOR PROPOSAL (RFP) — COMMERCIAL PRICE BOOK &amp; BILL OF QUANTITIES (BoQ)</t>
        </is>
      </c>
    </row>
    <row r="2">
      <c r="A2" s="2" t="inlineStr">
        <is>
          <t>Project: Nationwide 5G FWA Network (Band n50, 60 MHz TDD) | 5,000 Sites Footprint</t>
        </is>
      </c>
    </row>
    <row r="3">
      <c r="A3" s="3" t="inlineStr">
        <is>
          <t>Operator: Telecommunications Technology Solutions Incorporated (TelTech)</t>
        </is>
      </c>
    </row>
    <row r="4">
      <c r="A4" t="inlineStr">
        <is>
          <t>Tender Document Reference: RFP-TELTECH-FWA-2026-001 | Version: Official Bidding Version</t>
        </is>
      </c>
    </row>
    <row r="6">
      <c r="A6" s="3" t="inlineStr">
        <is>
          <t>1. Instructions to Bidders</t>
        </is>
      </c>
      <c r="B6" s="7" t="inlineStr"/>
    </row>
    <row r="7">
      <c r="A7" s="7" t="inlineStr">
        <is>
          <t>Currency of Bidding</t>
        </is>
      </c>
      <c r="B7" s="7" t="inlineStr">
        <is>
          <t>All hardware, international software licenses, and CPE devices must be quoted in US Dollars (USD $). Local services, civil works, and managed operations may be quoted in USD or Philippine Pesos (PHP ₱ at baseline FX: 55.00 PHP/USD).</t>
        </is>
      </c>
    </row>
    <row r="8">
      <c r="A8" s="7" t="inlineStr">
        <is>
          <t>Price Validity</t>
        </is>
      </c>
      <c r="B8" s="7" t="inlineStr">
        <is>
          <t>All quoted unit prices, license fees, and service rates must remain firm, fixed, and contractually binding for at least 180 calendar days from the official tender closing date.</t>
        </is>
      </c>
    </row>
    <row r="9">
      <c r="A9" s="7" t="inlineStr">
        <is>
          <t>Turnkey Scope</t>
        </is>
      </c>
      <c r="B9" s="7" t="inlineStr">
        <is>
          <t>Quotes must reflect full turnkey delivery including ocean freight/air freight, customs clearance, import duties, local warehousing, transport hauling to remote barangays, installation, commissioning, and acceptance testing.</t>
        </is>
      </c>
    </row>
    <row r="10">
      <c r="A10" s="7" t="inlineStr">
        <is>
          <t>Yellow Input Cells</t>
        </is>
      </c>
      <c r="B10" s="7" t="inlineStr">
        <is>
          <t>Bidders must enter their firm unit rates and commercial offers directly into the designated highlighted cells. Formulas in Total columns will calculate automatically.</t>
        </is>
      </c>
    </row>
    <row r="11">
      <c r="A11" s="7" t="inlineStr">
        <is>
          <t>Vendor Financing (Form D)</t>
        </is>
      </c>
      <c r="B11" s="7" t="inlineStr">
        <is>
          <t>Completion of Tab "Form D - Vendor Financing" is mandatory. Bidders offering attractive OEM or ECA-backed financing facilities will receive preferential evaluation scoring.</t>
        </is>
      </c>
    </row>
    <row r="12">
      <c r="A12" s="7" t="inlineStr"/>
      <c r="B12" s="7" t="inlineStr"/>
    </row>
    <row r="13">
      <c r="A13" s="3" t="inlineStr">
        <is>
          <t>2. Summary of Tender Lots</t>
        </is>
      </c>
      <c r="B13" s="7" t="inlineStr">
        <is>
          <t>Tab Name Reference</t>
        </is>
      </c>
    </row>
    <row r="14">
      <c r="A14" s="3" t="inlineStr">
        <is>
          <t>Lot 1: 5G RAN Equipment &amp; Turnkey Rollout Services</t>
        </is>
      </c>
      <c r="B14" s="7" t="inlineStr">
        <is>
          <t>Lot 1 - RAN &amp; Rollout</t>
        </is>
      </c>
    </row>
    <row r="15">
      <c r="A15" s="3" t="inlineStr">
        <is>
          <t>Lot 2: Power Systems &amp; Passive Site Infrastructure</t>
        </is>
      </c>
      <c r="B15" s="7" t="inlineStr">
        <is>
          <t>Lot 2 - Power &amp; Passive</t>
        </is>
      </c>
    </row>
    <row r="16">
      <c r="A16" s="3" t="inlineStr">
        <is>
          <t>Lot 3: Cloud-Native 5G Core Network (5GC SA)</t>
        </is>
      </c>
      <c r="B16" s="7" t="inlineStr">
        <is>
          <t>Lot 3 - 5G Core</t>
        </is>
      </c>
    </row>
    <row r="17">
      <c r="A17" s="3" t="inlineStr">
        <is>
          <t>Lot 4: Converged Digital OSS/BSS &amp; Field Dispatch Automation</t>
        </is>
      </c>
      <c r="B17" s="7" t="inlineStr">
        <is>
          <t>Lot 4 - OSS-BSS</t>
        </is>
      </c>
    </row>
    <row r="18">
      <c r="A18" s="17" t="inlineStr">
        <is>
          <t>Lot 5: Site Acquisition, Detailed Site Survey (TSSR), RF Design &amp; Civil Works</t>
        </is>
      </c>
      <c r="B18" s="17" t="inlineStr">
        <is>
          <t>Lot 5 - Site Acq &amp; Civils</t>
        </is>
      </c>
    </row>
    <row r="19">
      <c r="A19" s="3" t="inlineStr">
        <is>
          <t>Lot 6: Managed Services &amp; 24/7 First Line Maintenance</t>
        </is>
      </c>
      <c r="B19" s="7" t="inlineStr">
        <is>
          <t>Lot 6 - Managed Services</t>
        </is>
      </c>
    </row>
    <row r="20">
      <c r="A20" s="3" t="inlineStr">
        <is>
          <t>Lot 7: 5G High-Gain Customer Premises Equipment (CPE)</t>
        </is>
      </c>
      <c r="B20" s="7" t="inlineStr">
        <is>
          <t>Lot 7 - 5G CPE</t>
        </is>
      </c>
    </row>
    <row r="21">
      <c r="A21" s="3" t="inlineStr">
        <is>
          <t>Form D: Mandatory Vendor Financing Proposal</t>
        </is>
      </c>
      <c r="B21" s="7" t="inlineStr">
        <is>
          <t>Form D - Vendor Financing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LOT 1: 5G RADIO ACCESS NETWORK (RAN) HARDWARE &amp; TURNKEY SERVICES</t>
        </is>
      </c>
    </row>
    <row r="2">
      <c r="A2" t="inlineStr">
        <is>
          <t>Official Bidding Bill of Quantities — Enter Quoted Unit Rates in Column F</t>
        </is>
      </c>
    </row>
    <row r="4">
      <c r="A4" s="4" t="inlineStr">
        <is>
          <t>Item Code</t>
        </is>
      </c>
      <c r="B4" s="4" t="inlineStr">
        <is>
          <t>Item Description</t>
        </is>
      </c>
      <c r="C4" s="4" t="inlineStr">
        <is>
          <t>Detailed Technical Specification</t>
        </is>
      </c>
      <c r="D4" s="4" t="inlineStr">
        <is>
          <t>Qty / Site</t>
        </is>
      </c>
      <c r="E4" s="4" t="inlineStr">
        <is>
          <t>UoM</t>
        </is>
      </c>
      <c r="F4" s="4" t="inlineStr">
        <is>
          <t>Unit Rate (USD) [Bidder Input]</t>
        </is>
      </c>
      <c r="G4" s="4" t="inlineStr">
        <is>
          <t>Total per Site (USD)</t>
        </is>
      </c>
      <c r="H4" s="4" t="inlineStr">
        <is>
          <t>Phase 1 Total (1,000 Sites)</t>
        </is>
      </c>
      <c r="I4" s="4" t="inlineStr">
        <is>
          <t>Program Total (5,000 Sites)</t>
        </is>
      </c>
      <c r="J4" s="4" t="inlineStr">
        <is>
          <t>Remarks / Bidder Model</t>
        </is>
      </c>
    </row>
    <row r="5">
      <c r="A5" s="6" t="inlineStr">
        <is>
          <t>RAN-HW-01</t>
        </is>
      </c>
      <c r="B5" s="6" t="inlineStr">
        <is>
          <t>5G Baseband Unit (BBU)</t>
        </is>
      </c>
      <c r="C5" s="6" t="inlineStr">
        <is>
          <t>Modular 19" subrack, dual -48V DC PSU, 4x25G backhaul, 6x25G eCPRI, PTP/SyncE</t>
        </is>
      </c>
      <c r="D5" s="6" t="n">
        <v>1</v>
      </c>
      <c r="E5" s="6" t="inlineStr">
        <is>
          <t>set</t>
        </is>
      </c>
      <c r="F5" s="8" t="n"/>
      <c r="G5" s="6">
        <f>D5*F5</f>
        <v/>
      </c>
      <c r="H5" s="6">
        <f>G5*1000</f>
        <v/>
      </c>
      <c r="I5" s="6">
        <f>G5*5000</f>
        <v/>
      </c>
      <c r="J5" s="9" t="n"/>
    </row>
    <row r="6">
      <c r="A6" s="6" t="inlineStr">
        <is>
          <t>RAN-HW-02</t>
        </is>
      </c>
      <c r="B6" s="6" t="inlineStr">
        <is>
          <t>8T8R Remote Radio Unit (RRU)</t>
        </is>
      </c>
      <c r="C6" s="6" t="inlineStr">
        <is>
          <t>Band n50 (1.5 GHz), 60 MHz IBW, 8x40W (320W total RF power), IP67, fanless</t>
        </is>
      </c>
      <c r="D6" s="6" t="n">
        <v>3</v>
      </c>
      <c r="E6" s="6" t="inlineStr">
        <is>
          <t>sets</t>
        </is>
      </c>
      <c r="F6" s="8" t="n"/>
      <c r="G6" s="6">
        <f>D6*F6</f>
        <v/>
      </c>
      <c r="H6" s="6">
        <f>G6*1000</f>
        <v/>
      </c>
      <c r="I6" s="6">
        <f>G6*5000</f>
        <v/>
      </c>
      <c r="J6" s="9" t="n"/>
    </row>
    <row r="7">
      <c r="A7" s="6" t="inlineStr">
        <is>
          <t>RAN-HW-03</t>
        </is>
      </c>
      <c r="B7" s="6" t="inlineStr">
        <is>
          <t>Macro 8-Port Antennas</t>
        </is>
      </c>
      <c r="C7" s="6" t="inlineStr">
        <is>
          <t>8-port cross-pol, 17.5 dBi gain, 65 deg beamwidth, internal AISG 2.0 eRET</t>
        </is>
      </c>
      <c r="D7" s="6" t="n">
        <v>3</v>
      </c>
      <c r="E7" s="6" t="inlineStr">
        <is>
          <t>sets</t>
        </is>
      </c>
      <c r="F7" s="8" t="n"/>
      <c r="G7" s="6">
        <f>D7*F7</f>
        <v/>
      </c>
      <c r="H7" s="6">
        <f>G7*1000</f>
        <v/>
      </c>
      <c r="I7" s="6">
        <f>G7*5000</f>
        <v/>
      </c>
      <c r="J7" s="9" t="n"/>
    </row>
    <row r="8">
      <c r="A8" s="6" t="inlineStr">
        <is>
          <t>RAN-HW-04</t>
        </is>
      </c>
      <c r="B8" s="6" t="inlineStr">
        <is>
          <t>RF Jumpers, Fiber Patchcords &amp; SPD</t>
        </is>
      </c>
      <c r="C8" s="6" t="inlineStr">
        <is>
          <t>Armored optical jumpers, DC SPD Type 2, grounding kits, waterproof boots</t>
        </is>
      </c>
      <c r="D8" s="6" t="n">
        <v>1</v>
      </c>
      <c r="E8" s="6" t="inlineStr">
        <is>
          <t>lot</t>
        </is>
      </c>
      <c r="F8" s="8" t="n"/>
      <c r="G8" s="6">
        <f>D8*F8</f>
        <v/>
      </c>
      <c r="H8" s="6">
        <f>G8*1000</f>
        <v/>
      </c>
      <c r="I8" s="6">
        <f>G8*5000</f>
        <v/>
      </c>
      <c r="J8" s="9" t="n"/>
    </row>
    <row r="9">
      <c r="A9" s="6" t="inlineStr">
        <is>
          <t>RAN-HW-05</t>
        </is>
      </c>
      <c r="B9" s="6" t="inlineStr">
        <is>
          <t>BBU Base Software &amp; 5G Features</t>
        </is>
      </c>
      <c r="C9" s="6" t="inlineStr">
        <is>
          <t>Band n50 carrier license, 60 MHz TDD, 8T8R MU-MIMO, dynamic beamforming, energy-saving</t>
        </is>
      </c>
      <c r="D9" s="6" t="n">
        <v>1</v>
      </c>
      <c r="E9" s="6" t="inlineStr">
        <is>
          <t>lot</t>
        </is>
      </c>
      <c r="F9" s="8" t="n"/>
      <c r="G9" s="6">
        <f>D9*F9</f>
        <v/>
      </c>
      <c r="H9" s="6">
        <f>G9*1000</f>
        <v/>
      </c>
      <c r="I9" s="6">
        <f>G9*5000</f>
        <v/>
      </c>
      <c r="J9" s="9" t="n"/>
    </row>
    <row r="10">
      <c r="A10" s="10" t="inlineStr">
        <is>
          <t>SUBTOTAL-HW</t>
        </is>
      </c>
      <c r="B10" s="10" t="inlineStr">
        <is>
          <t>Subtotal BTS Hardware Package</t>
        </is>
      </c>
      <c r="C10" s="11" t="inlineStr">
        <is>
          <t>Total BTS Hardware Package per Site</t>
        </is>
      </c>
      <c r="D10" s="11" t="inlineStr"/>
      <c r="E10" s="11" t="inlineStr">
        <is>
          <t>site</t>
        </is>
      </c>
      <c r="F10" s="10" t="inlineStr"/>
      <c r="G10" s="10">
        <f>SUM(G5:G9)</f>
        <v/>
      </c>
      <c r="H10" s="10">
        <f>SUM(H5:H9)</f>
        <v/>
      </c>
      <c r="I10" s="10">
        <f>SUM(I5:I9)</f>
        <v/>
      </c>
      <c r="J10" s="12" t="n"/>
    </row>
    <row r="11">
      <c r="A11" s="6" t="inlineStr">
        <is>
          <t>RAN-SVC-01</t>
        </is>
      </c>
      <c r="B11" s="6" t="inlineStr">
        <is>
          <t>Site Survey, Structural Audit &amp; TSSR</t>
        </is>
      </c>
      <c r="C11" s="6" t="inlineStr">
        <is>
          <t>Tower load audit, drone 360 photo sweep, power check, TSSR report</t>
        </is>
      </c>
      <c r="D11" s="6" t="n">
        <v>1</v>
      </c>
      <c r="E11" s="6" t="inlineStr">
        <is>
          <t>site</t>
        </is>
      </c>
      <c r="F11" s="8" t="n"/>
      <c r="G11" s="6">
        <f>D11*F11</f>
        <v/>
      </c>
      <c r="H11" s="6">
        <f>G11*1000</f>
        <v/>
      </c>
      <c r="I11" s="6">
        <f>G11*5000</f>
        <v/>
      </c>
      <c r="J11" s="9" t="n"/>
    </row>
    <row r="12">
      <c r="A12" s="6" t="inlineStr">
        <is>
          <t>RAN-SVC-02</t>
        </is>
      </c>
      <c r="B12" s="6" t="inlineStr">
        <is>
          <t>Project Management &amp; Mobilization</t>
        </is>
      </c>
      <c r="C12" s="6" t="inlineStr">
        <is>
          <t>Dedicated PMO, rollout staging, quality assurance, safety management</t>
        </is>
      </c>
      <c r="D12" s="6" t="n">
        <v>1</v>
      </c>
      <c r="E12" s="6" t="inlineStr">
        <is>
          <t>site</t>
        </is>
      </c>
      <c r="F12" s="8" t="n"/>
      <c r="G12" s="6">
        <f>D12*F12</f>
        <v/>
      </c>
      <c r="H12" s="6">
        <f>G12*1000</f>
        <v/>
      </c>
      <c r="I12" s="6">
        <f>G12*5000</f>
        <v/>
      </c>
      <c r="J12" s="9" t="n"/>
    </row>
    <row r="13">
      <c r="A13" s="6" t="inlineStr">
        <is>
          <t>RAN-SVC-03</t>
        </is>
      </c>
      <c r="B13" s="6" t="inlineStr">
        <is>
          <t>Installation, Testing &amp; Commissioning (I&amp;C)</t>
        </is>
      </c>
      <c r="C13" s="6" t="inlineStr">
        <is>
          <t>Rigging, antenna/RRU mount, BBU wiring, fiber termination, power-up</t>
        </is>
      </c>
      <c r="D13" s="6" t="n">
        <v>1</v>
      </c>
      <c r="E13" s="6" t="inlineStr">
        <is>
          <t>site</t>
        </is>
      </c>
      <c r="F13" s="8" t="n"/>
      <c r="G13" s="6">
        <f>D13*F13</f>
        <v/>
      </c>
      <c r="H13" s="6">
        <f>G13*1000</f>
        <v/>
      </c>
      <c r="I13" s="6">
        <f>G13*5000</f>
        <v/>
      </c>
      <c r="J13" s="9" t="n"/>
    </row>
    <row r="14">
      <c r="A14" s="6" t="inlineStr">
        <is>
          <t>RAN-SVC-04</t>
        </is>
      </c>
      <c r="B14" s="6" t="inlineStr">
        <is>
          <t>Single Site Optimization (SSO/SSV)</t>
        </is>
      </c>
      <c r="C14" s="6" t="inlineStr">
        <is>
          <t>Stationary throughput, sector call test, ping, eRET tuning, SSV report</t>
        </is>
      </c>
      <c r="D14" s="6" t="n">
        <v>1</v>
      </c>
      <c r="E14" s="6" t="inlineStr">
        <is>
          <t>site</t>
        </is>
      </c>
      <c r="F14" s="8" t="n"/>
      <c r="G14" s="6">
        <f>D14*F14</f>
        <v/>
      </c>
      <c r="H14" s="6">
        <f>G14*1000</f>
        <v/>
      </c>
      <c r="I14" s="6">
        <f>G14*5000</f>
        <v/>
      </c>
      <c r="J14" s="9" t="n"/>
    </row>
    <row r="15">
      <c r="A15" s="6" t="inlineStr">
        <is>
          <t>RAN-SVC-05</t>
        </is>
      </c>
      <c r="B15" s="6" t="inlineStr">
        <is>
          <t>Cluster RF Optimization Services</t>
        </is>
      </c>
      <c r="C15" s="6" t="inlineStr">
        <is>
          <t>Cluster drive test, pilot pollution removal, neighbor tuning (per site share)</t>
        </is>
      </c>
      <c r="D15" s="6" t="n">
        <v>1</v>
      </c>
      <c r="E15" s="6" t="inlineStr">
        <is>
          <t>site</t>
        </is>
      </c>
      <c r="F15" s="8" t="n"/>
      <c r="G15" s="6">
        <f>D15*F15</f>
        <v/>
      </c>
      <c r="H15" s="6">
        <f>G15*1000</f>
        <v/>
      </c>
      <c r="I15" s="6">
        <f>G15*5000</f>
        <v/>
      </c>
      <c r="J15" s="9" t="n"/>
    </row>
    <row r="16">
      <c r="A16" s="6" t="inlineStr">
        <is>
          <t>RAN-SVC-06</t>
        </is>
      </c>
      <c r="B16" s="6" t="inlineStr">
        <is>
          <t>Central Warehousing &amp; Logistics</t>
        </is>
      </c>
      <c r="C16" s="6" t="inlineStr">
        <is>
          <t>Staging, serial asset tagging, indoor climate storage, kitting</t>
        </is>
      </c>
      <c r="D16" s="6" t="n">
        <v>1</v>
      </c>
      <c r="E16" s="6" t="inlineStr">
        <is>
          <t>site</t>
        </is>
      </c>
      <c r="F16" s="8" t="n"/>
      <c r="G16" s="6">
        <f>D16*F16</f>
        <v/>
      </c>
      <c r="H16" s="6">
        <f>G16*1000</f>
        <v/>
      </c>
      <c r="I16" s="6">
        <f>G16*5000</f>
        <v/>
      </c>
      <c r="J16" s="9" t="n"/>
    </row>
    <row r="17">
      <c r="A17" s="6" t="inlineStr">
        <is>
          <t>RAN-SVC-07</t>
        </is>
      </c>
      <c r="B17" s="6" t="inlineStr">
        <is>
          <t>Delivery &amp; Basic Hauling to Site</t>
        </is>
      </c>
      <c r="C17" s="6" t="inlineStr">
        <is>
          <t>Transport to regional depots, 4x4 rough-road hauling to rural barangays</t>
        </is>
      </c>
      <c r="D17" s="6" t="n">
        <v>1</v>
      </c>
      <c r="E17" s="6" t="inlineStr">
        <is>
          <t>site</t>
        </is>
      </c>
      <c r="F17" s="8" t="n"/>
      <c r="G17" s="6">
        <f>D17*F17</f>
        <v/>
      </c>
      <c r="H17" s="6">
        <f>G17*1000</f>
        <v/>
      </c>
      <c r="I17" s="6">
        <f>G17*5000</f>
        <v/>
      </c>
      <c r="J17" s="9" t="n"/>
    </row>
    <row r="18">
      <c r="A18" s="10" t="inlineStr">
        <is>
          <t>SUBTOTAL-SVC</t>
        </is>
      </c>
      <c r="B18" s="10" t="inlineStr">
        <is>
          <t>Subtotal Turnkey Services</t>
        </is>
      </c>
      <c r="C18" s="11" t="inlineStr">
        <is>
          <t>Total RAN Turnkey Rollout Services per Site</t>
        </is>
      </c>
      <c r="D18" s="11" t="inlineStr"/>
      <c r="E18" s="11" t="inlineStr">
        <is>
          <t>site</t>
        </is>
      </c>
      <c r="F18" s="10" t="inlineStr"/>
      <c r="G18" s="10">
        <f>SUM(G11:G17)</f>
        <v/>
      </c>
      <c r="H18" s="10">
        <f>SUM(H11:H17)</f>
        <v/>
      </c>
      <c r="I18" s="10">
        <f>SUM(I11:I17)</f>
        <v/>
      </c>
      <c r="J18" s="12" t="n"/>
    </row>
    <row r="19">
      <c r="A19" s="13" t="inlineStr">
        <is>
          <t>TOTAL-LOT1</t>
        </is>
      </c>
      <c r="B19" s="13" t="inlineStr">
        <is>
          <t>TOTAL TURNKEY RAN CAPEX PER SITE</t>
        </is>
      </c>
      <c r="C19" s="13" t="inlineStr">
        <is>
          <t>Combined BTS Hardware + Turnkey Rollout Services per Site</t>
        </is>
      </c>
      <c r="D19" s="13" t="inlineStr"/>
      <c r="E19" s="13" t="inlineStr">
        <is>
          <t>site</t>
        </is>
      </c>
      <c r="F19" s="13" t="inlineStr"/>
      <c r="G19" s="13">
        <f>G10+G18</f>
        <v/>
      </c>
      <c r="H19" s="13">
        <f>H10+H18</f>
        <v/>
      </c>
      <c r="I19" s="13">
        <f>I10+I18</f>
        <v/>
      </c>
      <c r="J19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  <col width="22" customWidth="1" min="4" max="4"/>
    <col width="10" customWidth="1" min="5" max="5"/>
    <col width="14" customWidth="1" min="6" max="6"/>
    <col width="22" customWidth="1" min="7" max="7"/>
    <col width="20" customWidth="1" min="8" max="8"/>
    <col width="24" customWidth="1" min="9" max="9"/>
    <col width="24" customWidth="1" min="10" max="10"/>
  </cols>
  <sheetData>
    <row r="1">
      <c r="A1" s="1" t="inlineStr">
        <is>
          <t>LOT 2: POWER SYSTEMS &amp; PASSIVE INFRASTRUCTURE</t>
        </is>
      </c>
    </row>
    <row r="2">
      <c r="A2" t="inlineStr">
        <is>
          <t>Official Bidding Bill of Quantities — Enter Quoted Unit Rates in Column G (USD)</t>
        </is>
      </c>
    </row>
    <row r="4">
      <c r="A4" s="19" t="inlineStr">
        <is>
          <t>Item Code</t>
        </is>
      </c>
      <c r="B4" s="20" t="inlineStr">
        <is>
          <t>Equipment Description</t>
        </is>
      </c>
      <c r="C4" s="20" t="inlineStr">
        <is>
          <t>Technical Specification</t>
        </is>
      </c>
      <c r="D4" s="20" t="inlineStr">
        <is>
          <t>Application</t>
        </is>
      </c>
      <c r="E4" s="19" t="inlineStr">
        <is>
          <t>UoM</t>
        </is>
      </c>
      <c r="F4" s="19" t="inlineStr">
        <is>
          <t>Phase 1 Qty</t>
        </is>
      </c>
      <c r="G4" s="21" t="inlineStr">
        <is>
          <t>Unit Rate (USD) [Bidder Input]</t>
        </is>
      </c>
      <c r="H4" s="21" t="inlineStr">
        <is>
          <t>Unit Rate (PHP @ 55)</t>
        </is>
      </c>
      <c r="I4" s="21" t="inlineStr">
        <is>
          <t>Phase 1 Total (USD)</t>
        </is>
      </c>
      <c r="J4" s="20" t="inlineStr">
        <is>
          <t>Remarks / Bidder Model</t>
        </is>
      </c>
    </row>
    <row r="5">
      <c r="A5" s="22" t="inlineStr">
        <is>
          <t>PWR-01</t>
        </is>
      </c>
      <c r="B5" s="23" t="inlineStr">
        <is>
          <t>12.0 kW Modular DC Rectifier Plant</t>
        </is>
      </c>
      <c r="C5" s="23" t="inlineStr">
        <is>
          <t>19" 3U subrack, 4x 3.0 kW modules (N+1), SMPS controller, 96% eff</t>
        </is>
      </c>
      <c r="D5" s="23" t="inlineStr">
        <is>
          <t>Co-loc &amp; Greenfield</t>
        </is>
      </c>
      <c r="E5" s="22" t="inlineStr">
        <is>
          <t>set</t>
        </is>
      </c>
      <c r="F5" s="31" t="n">
        <v>1000</v>
      </c>
      <c r="G5" s="24" t="n"/>
      <c r="H5" s="25">
        <f>G5*55</f>
        <v/>
      </c>
      <c r="I5" s="32">
        <f>F5*G5</f>
        <v/>
      </c>
      <c r="J5" s="23" t="n"/>
    </row>
    <row r="6">
      <c r="A6" s="22" t="inlineStr">
        <is>
          <t>PWR-02</t>
        </is>
      </c>
      <c r="B6" s="23" t="inlineStr">
        <is>
          <t>48V LiFePO4 Battery Bank</t>
        </is>
      </c>
      <c r="C6" s="23" t="inlineStr">
        <is>
          <t>Sized for &gt;= 12.0 kWh usable energy over 4.0h @ 3.0 kW load, &lt;=80% DoD, 80% SoH retention (minimum &gt;= 20.0 kWh nominal installed bank capacity, min 400 Ah @ 48V, loss-based calculation)</t>
        </is>
      </c>
      <c r="D6" s="23" t="inlineStr">
        <is>
          <t>Co-loc &amp; Greenfield</t>
        </is>
      </c>
      <c r="E6" s="22" t="inlineStr">
        <is>
          <t>set</t>
        </is>
      </c>
      <c r="F6" s="31" t="n">
        <v>1000</v>
      </c>
      <c r="G6" s="24" t="n"/>
      <c r="H6" s="25">
        <f>G6*55</f>
        <v/>
      </c>
      <c r="I6" s="32">
        <f>F6*G6</f>
        <v/>
      </c>
      <c r="J6" s="23" t="n"/>
    </row>
    <row r="7">
      <c r="A7" s="22" t="inlineStr">
        <is>
          <t>PWR-03</t>
        </is>
      </c>
      <c r="B7" s="23" t="inlineStr">
        <is>
          <t>TowerCo DC Tap-Off Box &amp; Submeter</t>
        </is>
      </c>
      <c r="C7" s="23" t="inlineStr">
        <is>
          <t>Enclosure, Class 1.0 revenue kWh meter, RS485 telemetry, SPD Type 2</t>
        </is>
      </c>
      <c r="D7" s="23" t="inlineStr">
        <is>
          <t>Leased TowerCo Sites</t>
        </is>
      </c>
      <c r="E7" s="22" t="inlineStr">
        <is>
          <t>set</t>
        </is>
      </c>
      <c r="F7" s="31" t="n">
        <v>897</v>
      </c>
      <c r="G7" s="24" t="n"/>
      <c r="H7" s="25">
        <f>G7*55</f>
        <v/>
      </c>
      <c r="I7" s="32">
        <f>F7*G7</f>
        <v/>
      </c>
      <c r="J7" s="23" t="n"/>
    </row>
    <row r="8">
      <c r="A8" s="22" t="inlineStr">
        <is>
          <t>PWR-04</t>
        </is>
      </c>
      <c r="B8" s="23" t="inlineStr">
        <is>
          <t>15 kVA Soundproof Standby Genset</t>
        </is>
      </c>
      <c r="C8" s="23" t="inlineStr">
        <is>
          <t>Diesel, 230V 60Hz, 500L-1000L sub-base tank, ATS auto-transfer, &lt;68dBA</t>
        </is>
      </c>
      <c r="D8" s="23" t="inlineStr">
        <is>
          <t>Greenfield Sites (Class T4)</t>
        </is>
      </c>
      <c r="E8" s="22" t="inlineStr">
        <is>
          <t>set</t>
        </is>
      </c>
      <c r="F8" s="31" t="n">
        <v>103</v>
      </c>
      <c r="G8" s="24" t="n"/>
      <c r="H8" s="25">
        <f>G8*55</f>
        <v/>
      </c>
      <c r="I8" s="32">
        <f>F8*G8</f>
        <v/>
      </c>
      <c r="J8" s="23" t="n"/>
    </row>
    <row r="9">
      <c r="A9" s="26" t="inlineStr">
        <is>
          <t>TOTAL-LOT2</t>
        </is>
      </c>
      <c r="B9" s="27" t="inlineStr">
        <is>
          <t>TOTAL POWER SYSTEMS &amp; ELECTRICAL INFRASTRUCTURE</t>
        </is>
      </c>
      <c r="C9" s="27" t="inlineStr">
        <is>
          <t>Total Phase 1 Capital Expenditure for Lot 2 Power Systems (Towers, compounds, and grounding are evaluated in Lot 5)</t>
        </is>
      </c>
      <c r="D9" s="27" t="inlineStr">
        <is>
          <t>1,000 Sites Footprint</t>
        </is>
      </c>
      <c r="E9" s="26" t="inlineStr">
        <is>
          <t>lot</t>
        </is>
      </c>
      <c r="F9" s="26" t="n">
        <v>1000</v>
      </c>
      <c r="G9" s="33" t="n"/>
      <c r="H9" s="33" t="n"/>
      <c r="I9" s="28">
        <f>SUM(I5:I8)</f>
        <v/>
      </c>
      <c r="J9" s="27" t="inlineStr">
        <is>
          <t>Evaluated Lot 2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LOT 3: CLOUD-NATIVE 5G CORE NETWORK (5GC SA) &amp; DATACENTER</t>
        </is>
      </c>
    </row>
    <row r="2">
      <c r="A2" t="inlineStr">
        <is>
          <t>Official Bidding Bill of Quantities — Enter Quoted Prices in Column F and AMC % in Column G</t>
        </is>
      </c>
    </row>
    <row r="4">
      <c r="A4" s="4" t="inlineStr">
        <is>
          <t>Item Code</t>
        </is>
      </c>
      <c r="B4" s="4" t="inlineStr">
        <is>
          <t>Core Subsystem</t>
        </is>
      </c>
      <c r="C4" s="4" t="inlineStr">
        <is>
          <t>Functional Description &amp; Sizing</t>
        </is>
      </c>
      <c r="D4" s="4" t="inlineStr">
        <is>
          <t>Licensing / Delivery</t>
        </is>
      </c>
      <c r="E4" s="4" t="inlineStr">
        <is>
          <t>UoM</t>
        </is>
      </c>
      <c r="F4" s="4" t="inlineStr">
        <is>
          <t>Year 1 Price (USD) [Bidder Input]</t>
        </is>
      </c>
      <c r="G4" s="4" t="inlineStr">
        <is>
          <t>Annual AMC % [Bidder Input]</t>
        </is>
      </c>
      <c r="H4" s="4" t="inlineStr">
        <is>
          <t>Remarks / Bidder Model</t>
        </is>
      </c>
    </row>
    <row r="5">
      <c r="A5" s="6" t="inlineStr">
        <is>
          <t>5GC-HW-01</t>
        </is>
      </c>
      <c r="B5" s="6" t="inlineStr">
        <is>
          <t>Compute Servers (2U Dual Socket)</t>
        </is>
      </c>
      <c r="C5" s="6" t="inlineStr">
        <is>
          <t>Dual Intel Xeon / AMD EPYC, 512GB RAM, redundant NVMe, dual 100GE NICs</t>
        </is>
      </c>
      <c r="D5" s="6" t="inlineStr">
        <is>
          <t>Hardware Purchase</t>
        </is>
      </c>
      <c r="E5" s="6" t="inlineStr">
        <is>
          <t>nodes</t>
        </is>
      </c>
      <c r="F5" s="15" t="n"/>
      <c r="G5" s="15" t="n"/>
    </row>
    <row r="6">
      <c r="A6" s="6" t="inlineStr">
        <is>
          <t>5GC-HW-02</t>
        </is>
      </c>
      <c r="B6" s="6" t="inlineStr">
        <is>
          <t>High-Performance UPF Nodes</t>
        </is>
      </c>
      <c r="C6" s="6" t="inlineStr">
        <is>
          <t>80 Gbps line-rate per node with DPDK/SR-IOV, N+1 redundancy across DCs</t>
        </is>
      </c>
      <c r="D6" s="6" t="inlineStr">
        <is>
          <t>Hardware Purchase</t>
        </is>
      </c>
      <c r="E6" s="6" t="inlineStr">
        <is>
          <t>nodes</t>
        </is>
      </c>
      <c r="F6" s="15" t="n"/>
      <c r="G6" s="15" t="n"/>
    </row>
    <row r="7">
      <c r="A7" s="6" t="inlineStr">
        <is>
          <t>5GC-HW-03</t>
        </is>
      </c>
      <c r="B7" s="6" t="inlineStr">
        <is>
          <t>Datacenter Fabric &amp; Security</t>
        </is>
      </c>
      <c r="C7" s="6" t="inlineStr">
        <is>
          <t>Spine/leaf 100G/25G switches, carrier next-gen firewalls, anti-DDoS</t>
        </is>
      </c>
      <c r="D7" s="6" t="inlineStr">
        <is>
          <t>Hardware Purchase</t>
        </is>
      </c>
      <c r="E7" s="6" t="inlineStr">
        <is>
          <t>lot</t>
        </is>
      </c>
      <c r="F7" s="15" t="n"/>
      <c r="G7" s="15" t="n"/>
    </row>
    <row r="8">
      <c r="A8" s="6" t="inlineStr">
        <is>
          <t>5GC-HW-04</t>
        </is>
      </c>
      <c r="B8" s="6" t="inlineStr">
        <is>
          <t>Storage &amp; Spares</t>
        </is>
      </c>
      <c r="C8" s="6" t="inlineStr">
        <is>
          <t>Enterprise NVMe redundant storage arrays, staging tooling, spares float</t>
        </is>
      </c>
      <c r="D8" s="6" t="inlineStr">
        <is>
          <t>Hardware Purchase</t>
        </is>
      </c>
      <c r="E8" s="6" t="inlineStr">
        <is>
          <t>lot</t>
        </is>
      </c>
      <c r="F8" s="15" t="n"/>
      <c r="G8" s="15" t="n"/>
    </row>
    <row r="9">
      <c r="A9" s="6" t="inlineStr">
        <is>
          <t>5GC-SW-01</t>
        </is>
      </c>
      <c r="B9" s="6" t="inlineStr">
        <is>
          <t>5GC Control Plane Software (1M Subs)</t>
        </is>
      </c>
      <c r="C9" s="6" t="inlineStr">
        <is>
          <t>AMF, SMF, PCF, UDM, UDR, AUSF, NRF, NSSF, CHF (1,000,000 registered subs)</t>
        </is>
      </c>
      <c r="D9" s="6" t="inlineStr">
        <is>
          <t>Perpetual License</t>
        </is>
      </c>
      <c r="E9" s="6" t="inlineStr">
        <is>
          <t>package</t>
        </is>
      </c>
      <c r="F9" s="15" t="n"/>
      <c r="G9" s="15" t="n"/>
    </row>
    <row r="10">
      <c r="A10" s="6" t="inlineStr">
        <is>
          <t>5GC-SW-02</t>
        </is>
      </c>
      <c r="B10" s="6" t="inlineStr">
        <is>
          <t>Carrier-Grade NAT &amp; DPI Software</t>
        </is>
      </c>
      <c r="C10" s="6" t="inlineStr">
        <is>
          <t>Deterministic CG-NAT port mapping + Layer-7 DPI bandwidth shaping</t>
        </is>
      </c>
      <c r="D10" s="6" t="inlineStr">
        <is>
          <t>Perpetual License</t>
        </is>
      </c>
      <c r="E10" s="6" t="inlineStr">
        <is>
          <t>package</t>
        </is>
      </c>
      <c r="F10" s="15" t="n"/>
      <c r="G10" s="15" t="n"/>
    </row>
    <row r="11">
      <c r="A11" s="6" t="inlineStr">
        <is>
          <t>5GC-SW-03</t>
        </is>
      </c>
      <c r="B11" s="6" t="inlineStr">
        <is>
          <t>CaaS / Kubernetes Platform</t>
        </is>
      </c>
      <c r="C11" s="6" t="inlineStr">
        <is>
          <t>Enterprise CaaS container platform, service mesh, logging &amp; telemetry</t>
        </is>
      </c>
      <c r="D11" s="6" t="inlineStr">
        <is>
          <t>Perpetual / Annual</t>
        </is>
      </c>
      <c r="E11" s="6" t="inlineStr">
        <is>
          <t>package</t>
        </is>
      </c>
      <c r="F11" s="15" t="n"/>
      <c r="G11" s="15" t="n"/>
    </row>
    <row r="12">
      <c r="A12" s="6" t="inlineStr">
        <is>
          <t>5GC-SVC-01</t>
        </is>
      </c>
      <c r="B12" s="6" t="inlineStr">
        <is>
          <t>System Integration &amp; RAN IOT</t>
        </is>
      </c>
      <c r="C12" s="6" t="inlineStr">
        <is>
          <t>High-level design, low-level design, RAN IOT, UAT and launch support</t>
        </is>
      </c>
      <c r="D12" s="6" t="inlineStr">
        <is>
          <t>Turnkey Services</t>
        </is>
      </c>
      <c r="E12" s="6" t="inlineStr">
        <is>
          <t>lot</t>
        </is>
      </c>
      <c r="F12" s="15" t="n"/>
      <c r="G12" s="15" t="n"/>
    </row>
    <row r="13">
      <c r="A13" s="13" t="inlineStr">
        <is>
          <t>TOTAL-5GC</t>
        </is>
      </c>
      <c r="B13" s="13" t="inlineStr">
        <is>
          <t>TOTAL 5G CORE YEAR 1 CAPEX</t>
        </is>
      </c>
      <c r="C13" s="13" t="inlineStr">
        <is>
          <t>Dual Datacenter Active-Active Setup Dimensioned for 1,000,000 Subscribers</t>
        </is>
      </c>
      <c r="D13" s="13" t="inlineStr">
        <is>
          <t>Turnkey Initial</t>
        </is>
      </c>
      <c r="E13" s="13" t="inlineStr">
        <is>
          <t>system</t>
        </is>
      </c>
      <c r="F13" s="16">
        <f>SUM(F5:F12)</f>
        <v/>
      </c>
      <c r="G13" s="16" t="n"/>
      <c r="H13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LOT 4: CONVERGED DIGITAL OSS/BSS &amp; FIELD FORCE AUTOMATION</t>
        </is>
      </c>
    </row>
    <row r="2">
      <c r="A2" t="inlineStr">
        <is>
          <t>Official Bidding Bill of Quantities — Enter Quoted Prices in Column F and AMC % in Column G</t>
        </is>
      </c>
    </row>
    <row r="4">
      <c r="A4" s="4" t="inlineStr">
        <is>
          <t>Item Code</t>
        </is>
      </c>
      <c r="B4" s="4" t="inlineStr">
        <is>
          <t>OSS/BSS Functional Module</t>
        </is>
      </c>
      <c r="C4" s="4" t="inlineStr">
        <is>
          <t>Functional Scope &amp; Volume Driver</t>
        </is>
      </c>
      <c r="D4" s="4" t="inlineStr">
        <is>
          <t>License Type</t>
        </is>
      </c>
      <c r="E4" s="4" t="inlineStr">
        <is>
          <t>UoM</t>
        </is>
      </c>
      <c r="F4" s="4" t="inlineStr">
        <is>
          <t>Year 1 Price (USD) [Bidder Input]</t>
        </is>
      </c>
      <c r="G4" s="4" t="inlineStr">
        <is>
          <t>Annual AMC % [Bidder Input]</t>
        </is>
      </c>
      <c r="H4" s="4" t="inlineStr">
        <is>
          <t>Remarks / Bidder Model</t>
        </is>
      </c>
    </row>
    <row r="5">
      <c r="A5" s="6" t="inlineStr">
        <is>
          <t>BSS-01</t>
        </is>
      </c>
      <c r="B5" s="6" t="inlineStr">
        <is>
          <t>Converged CRM &amp; Product Catalog</t>
        </is>
      </c>
      <c r="C5" s="6" t="inlineStr">
        <is>
          <t>Omnichannel onboarding, self-care, 4 consumer tariffs + SME plans</t>
        </is>
      </c>
      <c r="D5" s="6" t="inlineStr">
        <is>
          <t>Perpetual Enterprise</t>
        </is>
      </c>
      <c r="E5" s="6" t="inlineStr">
        <is>
          <t>suite</t>
        </is>
      </c>
      <c r="F5" s="15" t="n"/>
      <c r="G5" s="15" t="n"/>
    </row>
    <row r="6">
      <c r="A6" s="6" t="inlineStr">
        <is>
          <t>BSS-02</t>
        </is>
      </c>
      <c r="B6" s="6" t="inlineStr">
        <is>
          <t>Real-Time Charging &amp; Rating (CHF)</t>
        </is>
      </c>
      <c r="C6" s="6" t="inlineStr">
        <is>
          <t>CHF adapter, real-time balance tracking, zero-balance redirection</t>
        </is>
      </c>
      <c r="D6" s="6" t="inlineStr">
        <is>
          <t>Perpetual License</t>
        </is>
      </c>
      <c r="E6" s="6" t="inlineStr">
        <is>
          <t>suite</t>
        </is>
      </c>
      <c r="F6" s="15" t="n"/>
      <c r="G6" s="15" t="n"/>
    </row>
    <row r="7">
      <c r="A7" s="6" t="inlineStr">
        <is>
          <t>BSS-03</t>
        </is>
      </c>
      <c r="B7" s="6" t="inlineStr">
        <is>
          <t>Omnichannel Payment Gateway</t>
        </is>
      </c>
      <c r="C7" s="6" t="inlineStr">
        <is>
          <t>Direct API integrations: GCash, Maya, 7-Eleven CLiQQ, Bayad, QR Ph</t>
        </is>
      </c>
      <c r="D7" s="6" t="inlineStr">
        <is>
          <t>Integration Module</t>
        </is>
      </c>
      <c r="E7" s="6" t="inlineStr">
        <is>
          <t>module</t>
        </is>
      </c>
      <c r="F7" s="15" t="n"/>
      <c r="G7" s="15" t="n"/>
    </row>
    <row r="8">
      <c r="A8" s="6" t="inlineStr">
        <is>
          <t>BSS-04</t>
        </is>
      </c>
      <c r="B8" s="6" t="inlineStr">
        <is>
          <t>Billing &amp; Invoicing Engine</t>
        </is>
      </c>
      <c r="C8" s="6" t="inlineStr">
        <is>
          <t>Postpaid billing for SME, enterprise anchor tenants, and dealer invoicing</t>
        </is>
      </c>
      <c r="D8" s="6" t="inlineStr">
        <is>
          <t>Perpetual License</t>
        </is>
      </c>
      <c r="E8" s="6" t="inlineStr">
        <is>
          <t>suite</t>
        </is>
      </c>
      <c r="F8" s="15" t="n"/>
      <c r="G8" s="15" t="n"/>
    </row>
    <row r="9">
      <c r="A9" s="6" t="inlineStr">
        <is>
          <t>OSS-01</t>
        </is>
      </c>
      <c r="B9" s="6" t="inlineStr">
        <is>
          <t>Field Force Management (FMS)</t>
        </is>
      </c>
      <c r="C9" s="6" t="inlineStr">
        <is>
          <t>Algorithmic automated dispatch handling 3,500 daily work orders</t>
        </is>
      </c>
      <c r="D9" s="6" t="inlineStr">
        <is>
          <t>Enterprise License</t>
        </is>
      </c>
      <c r="E9" s="6" t="inlineStr">
        <is>
          <t>suite</t>
        </is>
      </c>
      <c r="F9" s="15" t="n"/>
      <c r="G9" s="15" t="n"/>
    </row>
    <row r="10">
      <c r="A10" s="6" t="inlineStr">
        <is>
          <t>OSS-02</t>
        </is>
      </c>
      <c r="B10" s="6" t="inlineStr">
        <is>
          <t>Mobile Field Technician App</t>
        </is>
      </c>
      <c r="C10" s="6" t="inlineStr">
        <is>
          <t>Android app: GPS routing, barcode scan, live RF signal sweep tool</t>
        </is>
      </c>
      <c r="D10" s="6" t="inlineStr">
        <is>
          <t>Unlimited Users</t>
        </is>
      </c>
      <c r="E10" s="6" t="inlineStr">
        <is>
          <t>module</t>
        </is>
      </c>
      <c r="F10" s="15" t="n"/>
      <c r="G10" s="15" t="n"/>
    </row>
    <row r="11">
      <c r="A11" s="6" t="inlineStr">
        <is>
          <t>OSS-03</t>
        </is>
      </c>
      <c r="B11" s="6" t="inlineStr">
        <is>
          <t>CPE Warehouse Logistics &amp; Reverse WMS</t>
        </is>
      </c>
      <c r="C11" s="6" t="inlineStr">
        <is>
          <t>Serialized asset tracking across depots, vehicle float, repossession</t>
        </is>
      </c>
      <c r="D11" s="6" t="inlineStr">
        <is>
          <t>Enterprise License</t>
        </is>
      </c>
      <c r="E11" s="6" t="inlineStr">
        <is>
          <t>suite</t>
        </is>
      </c>
      <c r="F11" s="15" t="n"/>
      <c r="G11" s="15" t="n"/>
    </row>
    <row r="12">
      <c r="A12" s="6" t="inlineStr">
        <is>
          <t>OSS-04</t>
        </is>
      </c>
      <c r="B12" s="6" t="inlineStr">
        <is>
          <t>Network Fault &amp; Performance OSS</t>
        </is>
      </c>
      <c r="C12" s="6" t="inlineStr">
        <is>
          <t>Multi-vendor EMS integration, RCA correlation, synthetic SLA monitoring</t>
        </is>
      </c>
      <c r="D12" s="6" t="inlineStr">
        <is>
          <t>Enterprise License</t>
        </is>
      </c>
      <c r="E12" s="6" t="inlineStr">
        <is>
          <t>suite</t>
        </is>
      </c>
      <c r="F12" s="15" t="n"/>
      <c r="G12" s="15" t="n"/>
    </row>
    <row r="13">
      <c r="A13" s="6" t="inlineStr">
        <is>
          <t>OSS-05</t>
        </is>
      </c>
      <c r="B13" s="6" t="inlineStr">
        <is>
          <t>Regulatory Reporting &amp; BI Engine</t>
        </is>
      </c>
      <c r="C13" s="6" t="inlineStr">
        <is>
          <t>NTC QoS reporting dashboards, churn analytics, spatial subscriber BI</t>
        </is>
      </c>
      <c r="D13" s="6" t="inlineStr">
        <is>
          <t>Enterprise License</t>
        </is>
      </c>
      <c r="E13" s="6" t="inlineStr">
        <is>
          <t>suite</t>
        </is>
      </c>
      <c r="F13" s="15" t="n"/>
      <c r="G13" s="15" t="n"/>
    </row>
    <row r="14">
      <c r="A14" s="6" t="inlineStr">
        <is>
          <t>OSS-SVC</t>
        </is>
      </c>
      <c r="B14" s="6" t="inlineStr">
        <is>
          <t>Systems Integration, Testing &amp; Launch</t>
        </is>
      </c>
      <c r="C14" s="6" t="inlineStr">
        <is>
          <t>End-to-end integration with Core, RAN, payment gateways and UAT launch</t>
        </is>
      </c>
      <c r="D14" s="6" t="inlineStr">
        <is>
          <t>Professional Services</t>
        </is>
      </c>
      <c r="E14" s="6" t="inlineStr">
        <is>
          <t>lot</t>
        </is>
      </c>
      <c r="F14" s="15" t="n"/>
      <c r="G14" s="15" t="n"/>
    </row>
    <row r="15">
      <c r="A15" s="13" t="inlineStr">
        <is>
          <t>TOTAL-BSS</t>
        </is>
      </c>
      <c r="B15" s="13" t="inlineStr">
        <is>
          <t>TOTAL OSS/BSS YEAR 1 CAPEX</t>
        </is>
      </c>
      <c r="C15" s="13" t="inlineStr">
        <is>
          <t>Turnkey Digital Stack Dimensioned for 1,000,000 Initial Subscribers</t>
        </is>
      </c>
      <c r="D15" s="13" t="inlineStr">
        <is>
          <t>Turnkey Initial</t>
        </is>
      </c>
      <c r="E15" s="13" t="inlineStr">
        <is>
          <t>suite</t>
        </is>
      </c>
      <c r="F15" s="16">
        <f>SUM(F5:F14)</f>
        <v/>
      </c>
      <c r="G15" s="16" t="n"/>
      <c r="H15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50" customWidth="1" min="3" max="3"/>
    <col width="28" customWidth="1" min="4" max="4"/>
    <col width="10" customWidth="1" min="5" max="5"/>
    <col width="14" customWidth="1" min="6" max="6"/>
    <col width="24" customWidth="1" min="7" max="7"/>
    <col width="20" customWidth="1" min="8" max="8"/>
    <col width="22" customWidth="1" min="9" max="9"/>
    <col width="28" customWidth="1" min="10" max="10"/>
  </cols>
  <sheetData>
    <row r="1">
      <c r="A1" s="1" t="inlineStr">
        <is>
          <t>LOT 5: SITE ACQUISITION, DETAILED SITE SURVEY (TSSR), RF DESIGN &amp; CIVIL WORKS</t>
        </is>
      </c>
    </row>
    <row r="2">
      <c r="A2" s="18" t="inlineStr">
        <is>
          <t>Official Bidding Bill of Quantities — Enter Quoted Rates in Column F</t>
        </is>
      </c>
    </row>
    <row r="4">
      <c r="A4" s="48" t="inlineStr">
        <is>
          <t>Item Code</t>
        </is>
      </c>
      <c r="B4" s="48" t="inlineStr">
        <is>
          <t>Service / Works Description</t>
        </is>
      </c>
      <c r="C4" s="48" t="inlineStr">
        <is>
          <t>Detailed Scope &amp; Technical Specification</t>
        </is>
      </c>
      <c r="D4" s="48" t="inlineStr">
        <is>
          <t>Site Class Application</t>
        </is>
      </c>
      <c r="E4" s="48" t="inlineStr">
        <is>
          <t>UoM</t>
        </is>
      </c>
      <c r="F4" s="48" t="inlineStr">
        <is>
          <t>Phase 1 Qty</t>
        </is>
      </c>
      <c r="G4" s="48" t="inlineStr">
        <is>
          <t>Unit Rate (USD) [Bidder Input]</t>
        </is>
      </c>
      <c r="H4" s="48" t="inlineStr">
        <is>
          <t>Unit Rate (PHP @ 55)</t>
        </is>
      </c>
      <c r="I4" s="4" t="inlineStr">
        <is>
          <t>Phase 1 Total (USD)</t>
        </is>
      </c>
      <c r="J4" s="4" t="inlineStr">
        <is>
          <t>Remarks / Bidder Methodology</t>
        </is>
      </c>
    </row>
    <row r="5">
      <c r="A5" s="49" t="inlineStr">
        <is>
          <t>CIV-SVC-01</t>
        </is>
      </c>
      <c r="B5" s="50" t="inlineStr">
        <is>
          <t>Detailed Site Survey Report (TSSR)</t>
        </is>
      </c>
      <c r="C5" s="51" t="inlineStr">
        <is>
          <t>Tower structural load audit, 360-degree drone photo sweep, power/grounding audit, civil layout sketch, and PE endorsement.</t>
        </is>
      </c>
      <c r="D5" s="49" t="inlineStr">
        <is>
          <t>All Sites (Co-loc &amp; Greenfield)</t>
        </is>
      </c>
      <c r="E5" s="49" t="inlineStr">
        <is>
          <t>site</t>
        </is>
      </c>
      <c r="F5" s="52" t="n">
        <v>1000</v>
      </c>
      <c r="G5" s="53" t="n"/>
      <c r="H5" s="54">
        <f>G5*55</f>
        <v/>
      </c>
      <c r="I5" s="55">
        <f>F5*G5</f>
        <v/>
      </c>
      <c r="J5" s="50" t="inlineStr">
        <is>
          <t>Comprehensive TSSR</t>
        </is>
      </c>
    </row>
    <row r="6">
      <c r="A6" s="56" t="inlineStr">
        <is>
          <t>CIV-SVC-02</t>
        </is>
      </c>
      <c r="B6" s="57" t="inlineStr">
        <is>
          <t>Site Acquisition &amp; Permitting Support</t>
        </is>
      </c>
      <c r="C6" s="58" t="inlineStr">
        <is>
          <t>LGU building permit processing, Barangay clearance, CAAP height clearance, and environmental compliance documentation.</t>
        </is>
      </c>
      <c r="D6" s="56" t="inlineStr">
        <is>
          <t>Greenfield Sites</t>
        </is>
      </c>
      <c r="E6" s="56" t="inlineStr">
        <is>
          <t>site</t>
        </is>
      </c>
      <c r="F6" s="59" t="n">
        <v>103</v>
      </c>
      <c r="G6" s="53" t="n"/>
      <c r="H6" s="60">
        <f>G6*55</f>
        <v/>
      </c>
      <c r="I6" s="61">
        <f>F6*G6</f>
        <v/>
      </c>
      <c r="J6" s="57" t="inlineStr">
        <is>
          <t>Full permit clearance</t>
        </is>
      </c>
    </row>
    <row r="7">
      <c r="A7" s="49" t="inlineStr">
        <is>
          <t>CIV-SVC-03</t>
        </is>
      </c>
      <c r="B7" s="50" t="inlineStr">
        <is>
          <t>Equipment Pad Foundation &amp; Cable Gantry</t>
        </is>
      </c>
      <c r="C7" s="51" t="inlineStr">
        <is>
          <t>Reinforced concrete plinth for outdoor DC power cabinet/battery, elevated cable tray/gantry, and AC interconnect point.</t>
        </is>
      </c>
      <c r="D7" s="49" t="inlineStr">
        <is>
          <t>Leased TowerCo Sites</t>
        </is>
      </c>
      <c r="E7" s="49" t="inlineStr">
        <is>
          <t>site</t>
        </is>
      </c>
      <c r="F7" s="52" t="n">
        <v>897</v>
      </c>
      <c r="G7" s="53" t="n"/>
      <c r="H7" s="54">
        <f>G7*55</f>
        <v/>
      </c>
      <c r="I7" s="55">
        <f>F7*G7</f>
        <v/>
      </c>
      <c r="J7" s="50" t="inlineStr">
        <is>
          <t>Co-location upgrade</t>
        </is>
      </c>
    </row>
    <row r="8">
      <c r="A8" s="56" t="inlineStr">
        <is>
          <t>CIV-SVC-04</t>
        </is>
      </c>
      <c r="B8" s="57" t="inlineStr">
        <is>
          <t>Greenfield Compound Civil Works &amp; Foundation</t>
        </is>
      </c>
      <c r="C8" s="58" t="inlineStr">
        <is>
          <t>8m x 8m compound grading, perimeter chain-link security fence, crushed gravel bedding, and reinforced foundation slab.</t>
        </is>
      </c>
      <c r="D8" s="56" t="inlineStr">
        <is>
          <t>Greenfield Sites (Class T4)</t>
        </is>
      </c>
      <c r="E8" s="56" t="inlineStr">
        <is>
          <t>site</t>
        </is>
      </c>
      <c r="F8" s="59" t="n">
        <v>103</v>
      </c>
      <c r="G8" s="53" t="n"/>
      <c r="H8" s="60">
        <f>G8*55</f>
        <v/>
      </c>
      <c r="I8" s="61">
        <f>F8*G8</f>
        <v/>
      </c>
      <c r="J8" s="57" t="inlineStr">
        <is>
          <t>Civil compound construction</t>
        </is>
      </c>
    </row>
    <row r="9">
      <c r="A9" s="49" t="inlineStr">
        <is>
          <t>CIV-SVC-05</t>
        </is>
      </c>
      <c r="B9" s="50" t="inlineStr">
        <is>
          <t>Grounding Grid &amp; Lightning Protection System</t>
        </is>
      </c>
      <c r="C9" s="51" t="inlineStr">
        <is>
          <t>Exothermically welded copper ground ring (Cadweld), ground rods, copper busbar, and air terminal (&lt;= 5.0 Ohms).</t>
        </is>
      </c>
      <c r="D9" s="49" t="inlineStr">
        <is>
          <t>Greenfield Sites (Class T4)</t>
        </is>
      </c>
      <c r="E9" s="49" t="inlineStr">
        <is>
          <t>site</t>
        </is>
      </c>
      <c r="F9" s="52" t="n">
        <v>103</v>
      </c>
      <c r="G9" s="53" t="n"/>
      <c r="H9" s="54">
        <f>G9*55</f>
        <v/>
      </c>
      <c r="I9" s="55">
        <f>F9*G9</f>
        <v/>
      </c>
      <c r="J9" s="50" t="inlineStr">
        <is>
          <t>Dedicated earth ground ring</t>
        </is>
      </c>
    </row>
    <row r="10">
      <c r="A10" s="56" t="inlineStr">
        <is>
          <t>CIV-SVC-06</t>
        </is>
      </c>
      <c r="B10" s="57" t="inlineStr">
        <is>
          <t>30m Galvanized Steel Monopole Tower</t>
        </is>
      </c>
      <c r="C10" s="58" t="inlineStr">
        <is>
          <t>ASTM A572 steel monopole, 250 km/h Category 5 wind rating, climbing ladder with fall arrest, rigging, erection, and certification.</t>
        </is>
      </c>
      <c r="D10" s="56" t="inlineStr">
        <is>
          <t>Greenfield Standard Height (Alternative A)</t>
        </is>
      </c>
      <c r="E10" s="56" t="inlineStr">
        <is>
          <t>site</t>
        </is>
      </c>
      <c r="F10" s="59" t="n">
        <v>80</v>
      </c>
      <c r="G10" s="53" t="n"/>
      <c r="H10" s="60">
        <f>G10*55</f>
        <v/>
      </c>
      <c r="I10" s="61">
        <f>F10*G10</f>
        <v/>
      </c>
      <c r="J10" s="57" t="inlineStr">
        <is>
          <t>80 sites standard (mutually exclusive with 40m)</t>
        </is>
      </c>
    </row>
    <row r="11">
      <c r="A11" s="49" t="inlineStr">
        <is>
          <t>CIV-SVC-07</t>
        </is>
      </c>
      <c r="B11" s="50" t="inlineStr">
        <is>
          <t>40m Galvanized Steel Monopole Tower</t>
        </is>
      </c>
      <c r="C11" s="51" t="inlineStr">
        <is>
          <t>ASTM A572 steel monopole, 250 km/h Category 5 wind rating, fall arrest, rigging, erection, and structural PE certification.</t>
        </is>
      </c>
      <c r="D11" s="49" t="inlineStr">
        <is>
          <t>Greenfield High-Clearance (Alternative B)</t>
        </is>
      </c>
      <c r="E11" s="49" t="inlineStr">
        <is>
          <t>site</t>
        </is>
      </c>
      <c r="F11" s="52" t="n">
        <v>23</v>
      </c>
      <c r="G11" s="53" t="n"/>
      <c r="H11" s="54">
        <f>G11*55</f>
        <v/>
      </c>
      <c r="I11" s="55">
        <f>F11*G11</f>
        <v/>
      </c>
      <c r="J11" s="50" t="inlineStr">
        <is>
          <t>23 sites terrain/canopy (mutually exclusive with 30m)</t>
        </is>
      </c>
    </row>
    <row r="12">
      <c r="A12" s="56" t="inlineStr">
        <is>
          <t>CIV-SVC-08</t>
        </is>
      </c>
      <c r="B12" s="57" t="inlineStr">
        <is>
          <t>RF Propagation Modeling &amp; Siting Optimization</t>
        </is>
      </c>
      <c r="C12" s="58" t="inlineStr">
        <is>
          <t>High-resolution 3D ray-tracing simulation, local clutter calibration, candidate search ring generation, and nominal design.</t>
        </is>
      </c>
      <c r="D12" s="56" t="inlineStr">
        <is>
          <t>Macro Network Footprint</t>
        </is>
      </c>
      <c r="E12" s="56" t="inlineStr">
        <is>
          <t>site</t>
        </is>
      </c>
      <c r="F12" s="59" t="n">
        <v>1000</v>
      </c>
      <c r="G12" s="53" t="n"/>
      <c r="H12" s="60">
        <f>G12*55</f>
        <v/>
      </c>
      <c r="I12" s="61">
        <f>F12*G12</f>
        <v/>
      </c>
      <c r="J12" s="57" t="inlineStr">
        <is>
          <t>RF planning &amp; candidate search rings</t>
        </is>
      </c>
    </row>
    <row r="13">
      <c r="A13" s="49" t="inlineStr">
        <is>
          <t>CIV-SVC-09</t>
        </is>
      </c>
      <c r="B13" s="50" t="inlineStr">
        <is>
          <t>Cluster RF Optimization &amp; Drive Testing Services</t>
        </is>
      </c>
      <c r="C13" s="51" t="inlineStr">
        <is>
          <t>Multi-site cluster drive testing, antenna tilt/azimuth physical optimization, pilot pollution removal, and handover tuning.</t>
        </is>
      </c>
      <c r="D13" s="49" t="inlineStr">
        <is>
          <t>Multi-Site Clusters (per site share)</t>
        </is>
      </c>
      <c r="E13" s="49" t="inlineStr">
        <is>
          <t>site</t>
        </is>
      </c>
      <c r="F13" s="52" t="n">
        <v>1000</v>
      </c>
      <c r="G13" s="53" t="n"/>
      <c r="H13" s="54">
        <f>G13*55</f>
        <v/>
      </c>
      <c r="I13" s="55">
        <f>F13*G13</f>
        <v/>
      </c>
      <c r="J13" s="50" t="inlineStr">
        <is>
          <t>Cluster drive testing &amp; tuning</t>
        </is>
      </c>
    </row>
    <row r="14">
      <c r="A14" s="62" t="inlineStr">
        <is>
          <t>TOTAL-LOT5</t>
        </is>
      </c>
      <c r="B14" s="63" t="inlineStr">
        <is>
          <t>TOTAL PHASE 1 CIVIL &amp; SITING WORKS (USD)</t>
        </is>
      </c>
      <c r="C14" s="63" t="inlineStr">
        <is>
          <t>Evaluated Turnkey Site Acquisition, Survey, Towers &amp; Civil Infrastructure</t>
        </is>
      </c>
      <c r="D14" s="62" t="inlineStr">
        <is>
          <t>1,000 Sites Footprint (897 Co-loc + 103 Greenfield)</t>
        </is>
      </c>
      <c r="E14" s="62" t="inlineStr">
        <is>
          <t>lot</t>
        </is>
      </c>
      <c r="F14" s="64" t="n">
        <v>1000</v>
      </c>
      <c r="G14" s="65">
        <f>SUM(G5:G13)</f>
        <v/>
      </c>
      <c r="H14" s="65" t="inlineStr">
        <is>
          <t>Evaluated Rate</t>
        </is>
      </c>
      <c r="I14" s="65">
        <f>SUM(I5:I13)</f>
        <v/>
      </c>
      <c r="J14" s="63" t="inlineStr">
        <is>
          <t>Evaluated Phase 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LOT 6: NATIONWIDE MANAGED SERVICES &amp; 24/7 NETWORK OPERATIONS</t>
        </is>
      </c>
    </row>
    <row r="2">
      <c r="A2" t="inlineStr">
        <is>
          <t>Official Bidding Bill of Quantities — Enter Quoted Monthly Rate per Site in Column E</t>
        </is>
      </c>
    </row>
    <row r="4">
      <c r="A4" s="4" t="inlineStr">
        <is>
          <t>Item Code</t>
        </is>
      </c>
      <c r="B4" s="4" t="inlineStr">
        <is>
          <t>Service Domain</t>
        </is>
      </c>
      <c r="C4" s="4" t="inlineStr">
        <is>
          <t>Operational Scope of Work</t>
        </is>
      </c>
      <c r="D4" s="4" t="inlineStr">
        <is>
          <t>SLA Target</t>
        </is>
      </c>
      <c r="E4" s="4" t="inlineStr">
        <is>
          <t>Monthly Rate / Site (PHP) [Bidder Input]</t>
        </is>
      </c>
      <c r="F4" s="4" t="inlineStr">
        <is>
          <t>Monthly Rate (USD @ 55)</t>
        </is>
      </c>
      <c r="G4" s="4" t="inlineStr">
        <is>
          <t>Annual Cost / Site (USD)</t>
        </is>
      </c>
      <c r="H4" s="4" t="inlineStr">
        <is>
          <t>Remarks</t>
        </is>
      </c>
    </row>
    <row r="5">
      <c r="A5" s="6" t="inlineStr">
        <is>
          <t>MS-01</t>
        </is>
      </c>
      <c r="B5" s="6" t="inlineStr">
        <is>
          <t>24/7 Tier-2/Tier-3 Central NOC</t>
        </is>
      </c>
      <c r="C5" s="6" t="inlineStr">
        <is>
          <t>Continuous 24/7/365 active monitoring, alarm triage, dispatch</t>
        </is>
      </c>
      <c r="D5" s="6" t="inlineStr">
        <is>
          <t>99.95% Target (99.70% Min SLA)</t>
        </is>
      </c>
      <c r="E5" s="15" t="n"/>
      <c r="F5" s="7">
        <f>E5/55</f>
        <v/>
      </c>
      <c r="G5" s="7">
        <f>F5*12</f>
        <v/>
      </c>
    </row>
    <row r="6">
      <c r="A6" s="6" t="inlineStr">
        <is>
          <t>MS-02</t>
        </is>
      </c>
      <c r="B6" s="6" t="inlineStr">
        <is>
          <t>First Line Maintenance (FLM)</t>
        </is>
      </c>
      <c r="C6" s="6" t="inlineStr">
        <is>
          <t>Nationwide 24/7 emergency restoration, 4x4 response vehicles</t>
        </is>
      </c>
      <c r="D6" s="6" t="inlineStr">
        <is>
          <t>MTTR &lt;=2h (U) / &lt;=4h (R)</t>
        </is>
      </c>
      <c r="E6" s="15" t="n"/>
      <c r="F6" s="7">
        <f>E6/55</f>
        <v/>
      </c>
      <c r="G6" s="7">
        <f>F6*12</f>
        <v/>
      </c>
    </row>
    <row r="7">
      <c r="A7" s="6" t="inlineStr">
        <is>
          <t>MS-03</t>
        </is>
      </c>
      <c r="B7" s="6" t="inlineStr">
        <is>
          <t>Preventive Maintenance (PM)</t>
        </is>
      </c>
      <c r="C7" s="6" t="inlineStr">
        <is>
          <t>Quarterly site inspections: power, RF jumpers, batteries, grounding</t>
        </is>
      </c>
      <c r="D7" s="6" t="inlineStr">
        <is>
          <t>100% Quarterly Audit</t>
        </is>
      </c>
      <c r="E7" s="15" t="n"/>
      <c r="F7" s="7">
        <f>E7/55</f>
        <v/>
      </c>
      <c r="G7" s="7">
        <f>F7*12</f>
        <v/>
      </c>
    </row>
    <row r="8">
      <c r="A8" s="6" t="inlineStr">
        <is>
          <t>MS-04</t>
        </is>
      </c>
      <c r="B8" s="6" t="inlineStr">
        <is>
          <t>Spare Parts Logistics &amp; Warehousing</t>
        </is>
      </c>
      <c r="C8" s="6" t="inlineStr">
        <is>
          <t>SPMS regional buffer float, next-business-day (NBD) replacement</t>
        </is>
      </c>
      <c r="D8" s="6" t="inlineStr">
        <is>
          <t>NBD Delivery SLA</t>
        </is>
      </c>
      <c r="E8" s="15" t="n"/>
      <c r="F8" s="7">
        <f>E8/55</f>
        <v/>
      </c>
      <c r="G8" s="7">
        <f>F8*12</f>
        <v/>
      </c>
    </row>
    <row r="9">
      <c r="A9" s="6" t="inlineStr">
        <is>
          <t>MS-05</t>
        </is>
      </c>
      <c r="B9" s="6" t="inlineStr">
        <is>
          <t>Continuous RF Cluster Optimization</t>
        </is>
      </c>
      <c r="C9" s="6" t="inlineStr">
        <is>
          <t>Routine KPI analysis, neighbor list optimization, interference tuning</t>
        </is>
      </c>
      <c r="D9" s="6" t="inlineStr">
        <is>
          <t>Zero degraded clusters</t>
        </is>
      </c>
      <c r="E9" s="15" t="n"/>
      <c r="F9" s="7">
        <f>E9/55</f>
        <v/>
      </c>
      <c r="G9" s="7">
        <f>F9*12</f>
        <v/>
      </c>
    </row>
    <row r="10">
      <c r="A10" s="13" t="inlineStr">
        <is>
          <t>TOTAL-MS</t>
        </is>
      </c>
      <c r="B10" s="13" t="inlineStr">
        <is>
          <t>TOTAL MANAGED SERVICES PER SITE</t>
        </is>
      </c>
      <c r="C10" s="13" t="inlineStr">
        <is>
          <t>Full-Scope Active Network Telecom O&amp;M Managed Operations</t>
        </is>
      </c>
      <c r="D10" s="13" t="inlineStr">
        <is>
          <t>Strict SLA Governed</t>
        </is>
      </c>
      <c r="E10" s="16">
        <f>SUM(E5:E9)</f>
        <v/>
      </c>
      <c r="F10" s="16">
        <f>SUM(F5:F9)</f>
        <v/>
      </c>
      <c r="G10" s="16">
        <f>SUM(G5:G9)</f>
        <v/>
      </c>
      <c r="H10" s="1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LOT 7: 5G HIGH-GAIN CUSTOMER PREMISES EQUIPMENT (CPE)</t>
        </is>
      </c>
    </row>
    <row r="2">
      <c r="A2" t="inlineStr">
        <is>
          <t>Official Bidding Bill of Quantities — Enter Quoted Unit Rate in Column F</t>
        </is>
      </c>
    </row>
    <row r="4">
      <c r="A4" s="4" t="inlineStr">
        <is>
          <t>Item Code</t>
        </is>
      </c>
      <c r="B4" s="4" t="inlineStr">
        <is>
          <t>CPE Terminal Model</t>
        </is>
      </c>
      <c r="C4" s="4" t="inlineStr">
        <is>
          <t>Technical Specifications</t>
        </is>
      </c>
      <c r="D4" s="4" t="inlineStr">
        <is>
          <t>Target Order Qty (P1)</t>
        </is>
      </c>
      <c r="E4" s="4" t="inlineStr">
        <is>
          <t>UoM</t>
        </is>
      </c>
      <c r="F4" s="4" t="inlineStr">
        <is>
          <t>Unit Rate (USD) [Bidder Input]</t>
        </is>
      </c>
      <c r="G4" s="4" t="inlineStr">
        <is>
          <t>Total Phase 1 Cost (USD)</t>
        </is>
      </c>
      <c r="H4" s="4" t="inlineStr">
        <is>
          <t>Remarks / Bidder Model</t>
        </is>
      </c>
    </row>
    <row r="5">
      <c r="A5" s="34" t="inlineStr">
        <is>
          <t>CPE-01</t>
        </is>
      </c>
      <c r="B5" s="34" t="inlineStr">
        <is>
          <t>Indoor 5G High-Gain FWA Router</t>
        </is>
      </c>
      <c r="C5" s="34" t="inlineStr">
        <is>
          <t>Band n50 native, &gt;=8.0 dBi internal antenna, Wi-Fi 6 AX1800/AX3000, 1x 2.5GE + 2x 1GE ports, TR-069/TR-369</t>
        </is>
      </c>
      <c r="D5" s="34" t="n">
        <v>350000</v>
      </c>
      <c r="E5" s="34" t="inlineStr">
        <is>
          <t>units</t>
        </is>
      </c>
      <c r="F5" s="35" t="n"/>
      <c r="G5" s="36">
        <f>D5*F5</f>
        <v/>
      </c>
      <c r="H5" s="34" t="n"/>
    </row>
    <row r="6">
      <c r="A6" s="34" t="inlineStr">
        <is>
          <t>CPE-02</t>
        </is>
      </c>
      <c r="B6" s="34" t="inlineStr">
        <is>
          <t>Outdoor 5G High-Gain FWA Terminal Package</t>
        </is>
      </c>
      <c r="C6" s="34" t="inlineStr">
        <is>
          <t>Band n50, IP67 enclosure, &gt;=12.0 dBi directional antenna, 1x 2.5GE PoE, bundled indoor Wi-Fi 6 router &amp; PoE injector</t>
        </is>
      </c>
      <c r="D6" s="34" t="n">
        <v>15000</v>
      </c>
      <c r="E6" s="34" t="inlineStr">
        <is>
          <t>units</t>
        </is>
      </c>
      <c r="F6" s="35" t="n"/>
      <c r="G6" s="36">
        <f>D6*F6</f>
        <v/>
      </c>
      <c r="H6" s="34" t="n"/>
    </row>
    <row r="7">
      <c r="A7" s="34" t="inlineStr">
        <is>
          <t>CPE-SVC</t>
        </is>
      </c>
      <c r="B7" s="34" t="inlineStr">
        <is>
          <t>Device Staging, Pre-Configuration &amp; SIM Locking</t>
        </is>
      </c>
      <c r="C7" s="34" t="inlineStr">
        <is>
          <t>Firmware customization, operator APN &amp; SIM locking, custom retail packaging for all Phase 1 terminals</t>
        </is>
      </c>
      <c r="D7" s="34" t="n">
        <v>365000</v>
      </c>
      <c r="E7" s="34" t="inlineStr">
        <is>
          <t>units</t>
        </is>
      </c>
      <c r="F7" s="35" t="n"/>
      <c r="G7" s="36">
        <f>D7*F7</f>
        <v/>
      </c>
      <c r="H7" s="34" t="n"/>
    </row>
    <row r="8">
      <c r="A8" s="26" t="inlineStr">
        <is>
          <t>TOTAL-LOT7</t>
        </is>
      </c>
      <c r="B8" s="27" t="inlineStr">
        <is>
          <t>TOTAL 5G CUSTOMER PREMISES EQUIPMENT (CPE)</t>
        </is>
      </c>
      <c r="C8" s="27" t="inlineStr">
        <is>
          <t>Total Initial Terminal Supply &amp; Staging (365,000 Total Devices)</t>
        </is>
      </c>
      <c r="D8" s="26" t="n">
        <v>365000</v>
      </c>
      <c r="E8" s="26" t="inlineStr">
        <is>
          <t>units</t>
        </is>
      </c>
      <c r="F8" s="33" t="inlineStr"/>
      <c r="G8" s="28">
        <f>SUM(G5:G7)</f>
        <v/>
      </c>
      <c r="H8" s="27" t="inlineStr">
        <is>
          <t>Evaluated Lot 7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Telecommunications Technology Solutions Incorporated (TelTech)</t>
        </is>
      </c>
    </row>
    <row r="2">
      <c r="A2" t="inlineStr">
        <is>
          <t>Form C: Phase 1 (1,000 Sites) 10-Year Baseline Lifecycle Total Cost of Ownership (TCO)</t>
        </is>
      </c>
    </row>
    <row r="3">
      <c r="A3" t="inlineStr">
        <is>
          <t>Tender Ref: RFP-TELTECH-FWA-2026-001 | Baseline Evaluation: Committed 1,000 Sites (Lots 1, 2, 5 Turnkey) | Expansion Yrs 2-5 Call-Off</t>
        </is>
      </c>
    </row>
    <row r="5">
      <c r="A5" s="37" t="inlineStr">
        <is>
          <t>Cost Category / Lifecycle Element</t>
        </is>
      </c>
      <c r="B5" s="37" t="inlineStr">
        <is>
          <t>Phase 1 Capex (Yr 1)</t>
        </is>
      </c>
      <c r="C5" s="37" t="inlineStr">
        <is>
          <t>Yr 2</t>
        </is>
      </c>
      <c r="D5" s="37" t="inlineStr">
        <is>
          <t>Yr 3</t>
        </is>
      </c>
      <c r="E5" s="37" t="inlineStr">
        <is>
          <t>Yr 4</t>
        </is>
      </c>
      <c r="F5" s="37" t="inlineStr">
        <is>
          <t>Yr 5</t>
        </is>
      </c>
      <c r="G5" s="37" t="inlineStr">
        <is>
          <t>Yrs 6-10 Cumulative</t>
        </is>
      </c>
      <c r="H5" s="37" t="inlineStr">
        <is>
          <t>10-Year Total TCO (USD)</t>
        </is>
      </c>
      <c r="I5" s="37" t="inlineStr">
        <is>
          <t>Notes &amp; Pricing Assumptions</t>
        </is>
      </c>
    </row>
    <row r="6">
      <c r="A6" t="inlineStr">
        <is>
          <t>1. 5G RAN Network Capex (Lots 1, 2, 5)</t>
        </is>
      </c>
      <c r="B6">
        <f>'Lot 1 - RAN &amp; Rollout'!H19+'Lot 2 - Power &amp; Passive'!I9+'Lot 5 - Site Acq &amp; Civils'!I14</f>
        <v/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>
        <f>SUM(B6:G6)</f>
        <v/>
      </c>
      <c r="I6" t="inlineStr">
        <is>
          <t>[Evaluated Tender Input] Initial 1,000 sites turnkey rollout (Lots 1, 2, 5 Phase 1 Totals). Expansion Yrs 2-5 Capex evaluated via contractual call-off rate card.</t>
        </is>
      </c>
    </row>
    <row r="7">
      <c r="A7" t="inlineStr">
        <is>
          <t>2. 5G Core Network &amp; Cloud Infrastructure (Lot 3)</t>
        </is>
      </c>
      <c r="B7">
        <f>'Lot 3 - 5G Core'!F13</f>
        <v/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>
        <f>SUM(B7:G7)</f>
        <v/>
      </c>
      <c r="I7" t="inlineStr">
        <is>
          <t>[Evaluated Tender Input] Day-1 Core &amp; DC infrastructure dimensioned for 1.0M subscribers (perpetual license + compute fabric).</t>
        </is>
      </c>
    </row>
    <row r="8">
      <c r="A8" t="inlineStr">
        <is>
          <t>3. Digital OSS/BSS &amp; Automation (Lot 4)</t>
        </is>
      </c>
      <c r="B8">
        <f>'Lot 4 - OSS-BSS'!F15</f>
        <v/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>
        <f>SUM(B8:G8)</f>
        <v/>
      </c>
      <c r="I8" t="inlineStr">
        <is>
          <t>[Evaluated Tender Input] Turnkey BSS/OSS stack, CRM, prepaid billing, and FMS dispatch engine.</t>
        </is>
      </c>
    </row>
    <row r="9">
      <c r="A9" t="inlineStr">
        <is>
          <t>4. 5G CPE Terminals Supply (Lot 7)</t>
        </is>
      </c>
      <c r="B9">
        <f>'Lot 7 - 5G CPE'!G8</f>
        <v/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>
        <f>SUM(B9:G9)</f>
        <v/>
      </c>
      <c r="I9" t="inlineStr">
        <is>
          <t>[Evaluated Tender Input] Phase 1 initial supply of 365,000 subscriber terminals (350k indoor + 15k outdoor).</t>
        </is>
      </c>
    </row>
    <row r="10">
      <c r="A10" t="inlineStr">
        <is>
          <t>5. Annual Software Support &amp; AMC (5GC + OSS/BSS)</t>
        </is>
      </c>
      <c r="B10" t="n">
        <v>0</v>
      </c>
      <c r="C10">
        <f>('Lot 3 - 5G Core'!F13*0.10)+('Lot 4 - OSS-BSS'!F15*0.10)</f>
        <v/>
      </c>
      <c r="D10">
        <f>('Lot 3 - 5G Core'!F13*0.10)+('Lot 4 - OSS-BSS'!F15*0.10)</f>
        <v/>
      </c>
      <c r="E10">
        <f>('Lot 3 - 5G Core'!F13*0.10)+('Lot 4 - OSS-BSS'!F15*0.10)</f>
        <v/>
      </c>
      <c r="F10">
        <f>('Lot 3 - 5G Core'!F13*0.10)+('Lot 4 - OSS-BSS'!F15*0.10)</f>
        <v/>
      </c>
      <c r="G10">
        <f>(('Lot 3 - 5G Core'!F13*0.10)+('Lot 4 - OSS-BSS'!F15*0.10))*5</f>
        <v/>
      </c>
      <c r="H10">
        <f>SUM(B10:G10)</f>
        <v/>
      </c>
      <c r="I10" t="inlineStr">
        <is>
          <t>[Prescribed Evaluated Parameter] 10.0% p.a. of Core (Lot 3) + OSS/BSS (Lot 4) software Capex starting Yr 2 following 12-month Day-1 warranty.</t>
        </is>
      </c>
    </row>
    <row r="11">
      <c r="A11" t="inlineStr">
        <is>
          <t>6. Managed Services &amp; Field Operations (Lot 6)</t>
        </is>
      </c>
      <c r="B11">
        <f>'Lot 6 - Managed Services'!G10*1000</f>
        <v/>
      </c>
      <c r="C11">
        <f>'Lot 6 - Managed Services'!G10*1000</f>
        <v/>
      </c>
      <c r="D11">
        <f>'Lot 6 - Managed Services'!G10*1000</f>
        <v/>
      </c>
      <c r="E11">
        <f>'Lot 6 - Managed Services'!G10*1000</f>
        <v/>
      </c>
      <c r="F11">
        <f>'Lot 6 - Managed Services'!G10*1000</f>
        <v/>
      </c>
      <c r="G11">
        <f>'Lot 6 - Managed Services'!G10*1000*5</f>
        <v/>
      </c>
      <c r="H11">
        <f>SUM(B11:G11)</f>
        <v/>
      </c>
      <c r="I11" t="inlineStr">
        <is>
          <t>[Prescribed Evaluated Parameter] Evaluated on Phase 1 network baseline (1,000 sites footprint @ Lot 6 quoted annual rate). Scales proportionately upon expansion call-off.</t>
        </is>
      </c>
    </row>
    <row r="12">
      <c r="A12" t="inlineStr">
        <is>
          <t>7. Spare Parts Float &amp; RMA Replenishment</t>
        </is>
      </c>
      <c r="B12">
        <f>B6*0.02</f>
        <v/>
      </c>
      <c r="C12">
        <f>B6*0.01</f>
        <v/>
      </c>
      <c r="D12">
        <f>B6*0.01</f>
        <v/>
      </c>
      <c r="E12">
        <f>B6*0.01</f>
        <v/>
      </c>
      <c r="F12">
        <f>B6*0.01</f>
        <v/>
      </c>
      <c r="G12">
        <f>B6*0.05</f>
        <v/>
      </c>
      <c r="H12">
        <f>SUM(B12:G12)</f>
        <v/>
      </c>
      <c r="I12" t="inlineStr">
        <is>
          <t>[Prescribed Evaluated Parameter] 2.0% initial spares float in Yr 1, 1.0% annual replenishment in Yrs 2-5, and 5.0% cumulative in Yrs 6-10.</t>
        </is>
      </c>
    </row>
    <row r="13">
      <c r="A13" s="38" t="inlineStr">
        <is>
          <t>TOTAL EVALUATED 10-YEAR TCO (USD) — Phase 1 Network Baseline</t>
        </is>
      </c>
      <c r="B13" s="38">
        <f>SUM(B6:B12)</f>
        <v/>
      </c>
      <c r="C13" s="38">
        <f>SUM(C6:C12)</f>
        <v/>
      </c>
      <c r="D13" s="38">
        <f>SUM(D6:D12)</f>
        <v/>
      </c>
      <c r="E13" s="38">
        <f>SUM(E6:E12)</f>
        <v/>
      </c>
      <c r="F13" s="38">
        <f>SUM(F6:F12)</f>
        <v/>
      </c>
      <c r="G13" s="38">
        <f>SUM(G6:G12)</f>
        <v/>
      </c>
      <c r="H13" s="38">
        <f>SUM(H6:H12)</f>
        <v/>
      </c>
      <c r="I13" s="38" t="inlineStr">
        <is>
          <t>Evaluated Total Lifecycle Cost of Ownership for Phase 1 Baseline</t>
        </is>
      </c>
    </row>
    <row r="15">
      <c r="A15" s="66" t="inlineStr">
        <is>
          <t>Note: This schedule establishes the official evaluated 10-Year Lifecycle TCO for the committed Phase 1 network baseline (1,000 macro BTS sites). Expansion Capex for Years 2 to 5 (Phases 2 to 5, 1,000 sites/year up to 5,000 sites total) is governed by the firm unit rates in Lots 1, 2, 5, and 7 under contractual call-off options (Section 4.5).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5" customWidth="1" min="3" max="3"/>
    <col width="35" customWidth="1" min="4" max="4"/>
    <col width="24" customWidth="1" min="5" max="5"/>
  </cols>
  <sheetData>
    <row r="1">
      <c r="A1" s="1" t="inlineStr">
        <is>
          <t>FORM D: MANDATORY VENDOR FINANCING PROPOSAL</t>
        </is>
      </c>
    </row>
    <row r="2">
      <c r="A2" t="inlineStr">
        <is>
          <t>Official Bidding Terms — Enter Proposed Binding Financing Terms in Column D</t>
        </is>
      </c>
    </row>
    <row r="4">
      <c r="A4" s="4" t="inlineStr">
        <is>
          <t>Parameter Ref</t>
        </is>
      </c>
      <c r="B4" s="4" t="inlineStr">
        <is>
          <t>Financing Term / Condition</t>
        </is>
      </c>
      <c r="C4" s="4" t="inlineStr">
        <is>
          <t>Operator Mandatory Requirement</t>
        </is>
      </c>
      <c r="D4" s="4" t="inlineStr">
        <is>
          <t>Bidder Binding Offer [Bidder Input]</t>
        </is>
      </c>
      <c r="E4" s="4" t="inlineStr">
        <is>
          <t>Compliance / Notes</t>
        </is>
      </c>
    </row>
    <row r="5">
      <c r="A5" s="6" t="inlineStr">
        <is>
          <t>FIN-01</t>
        </is>
      </c>
      <c r="B5" s="6" t="inlineStr">
        <is>
          <t>Financing Structure</t>
        </is>
      </c>
      <c r="C5" s="6" t="inlineStr">
        <is>
          <t>OEM Vendor Financing, Buyer's Credit, or ECA-backed facility</t>
        </is>
      </c>
      <c r="D5" s="8" t="inlineStr"/>
      <c r="E5" s="9" t="n"/>
    </row>
    <row r="6">
      <c r="A6" s="6" t="inlineStr">
        <is>
          <t>FIN-02</t>
        </is>
      </c>
      <c r="B6" s="6" t="inlineStr">
        <is>
          <t>Financing Quantum (% of Capex)</t>
        </is>
      </c>
      <c r="C6" s="6" t="inlineStr">
        <is>
          <t>Minimum 80.0% of total eligible Capex (Lots 1, 3, Turnkey Services)</t>
        </is>
      </c>
      <c r="D6" s="8" t="inlineStr"/>
      <c r="E6" s="9" t="n"/>
    </row>
    <row r="7">
      <c r="A7" s="6" t="inlineStr">
        <is>
          <t>FIN-03</t>
        </is>
      </c>
      <c r="B7" s="6" t="inlineStr">
        <is>
          <t>Equity Downpayment (% of Capex)</t>
        </is>
      </c>
      <c r="C7" s="6" t="inlineStr">
        <is>
          <t>Maximum 20.0% downpayment upon contract signing</t>
        </is>
      </c>
      <c r="D7" s="8" t="inlineStr"/>
      <c r="E7" s="9" t="n"/>
    </row>
    <row r="8">
      <c r="A8" s="6" t="inlineStr">
        <is>
          <t>FIN-04</t>
        </is>
      </c>
      <c r="B8" s="6" t="inlineStr">
        <is>
          <t>Total Facility Tenor</t>
        </is>
      </c>
      <c r="C8" s="6" t="inlineStr">
        <is>
          <t>Flexible facility tenor up to 20 Years (minimum 4 Years, 5+ Years Preferred)</t>
        </is>
      </c>
      <c r="D8" s="8" t="inlineStr"/>
      <c r="E8" s="9" t="n"/>
    </row>
    <row r="9">
      <c r="A9" s="6" t="inlineStr">
        <is>
          <t>FIN-05</t>
        </is>
      </c>
      <c r="B9" s="6" t="inlineStr">
        <is>
          <t>Principal Grace Period</t>
        </is>
      </c>
      <c r="C9" s="6" t="inlineStr">
        <is>
          <t>Deferred payment / principal grace period up to 10 Years (minimum 12 Months, 18+ Months Preferred)</t>
        </is>
      </c>
      <c r="D9" s="8" t="inlineStr"/>
      <c r="E9" s="9" t="n"/>
    </row>
    <row r="10">
      <c r="A10" s="6" t="inlineStr">
        <is>
          <t>FIN-06</t>
        </is>
      </c>
      <c r="B10" s="6" t="inlineStr">
        <is>
          <t>Indicative Annual Interest Rate</t>
        </is>
      </c>
      <c r="C10" s="6" t="inlineStr">
        <is>
          <t>Fixed commercial rate (preferred &lt;= 6.50% p.a.) or competitive benchmark to SOFR + spread</t>
        </is>
      </c>
      <c r="D10" s="8" t="inlineStr"/>
      <c r="E10" s="9" t="n"/>
    </row>
    <row r="11">
      <c r="A11" s="6" t="inlineStr">
        <is>
          <t>FIN-07</t>
        </is>
      </c>
      <c r="B11" s="6" t="inlineStr">
        <is>
          <t>Repayment Schedule</t>
        </is>
      </c>
      <c r="C11" s="6" t="inlineStr">
        <is>
          <t>Equal quarterly or semi-annual principal &amp; interest amortizations</t>
        </is>
      </c>
      <c r="D11" s="8" t="inlineStr"/>
      <c r="E11" s="9" t="n"/>
    </row>
    <row r="12">
      <c r="A12" s="6" t="inlineStr">
        <is>
          <t>FIN-08</t>
        </is>
      </c>
      <c r="B12" s="6" t="inlineStr">
        <is>
          <t>Collateral / Asset Pledge</t>
        </is>
      </c>
      <c r="C12" s="6" t="inlineStr">
        <is>
          <t>Pledge on acquired telecom hardware without restrictive corporate liens</t>
        </is>
      </c>
      <c r="D12" s="8" t="inlineStr"/>
      <c r="E12" s="9" t="n"/>
    </row>
    <row r="13">
      <c r="A13" s="6" t="inlineStr">
        <is>
          <t>FIN-09</t>
        </is>
      </c>
      <c r="B13" s="6" t="inlineStr">
        <is>
          <t>Credit Committee Status</t>
        </is>
      </c>
      <c r="C13" s="6" t="inlineStr">
        <is>
          <t>Board or Credit Committee approved term sheet attached with bid</t>
        </is>
      </c>
      <c r="D13" s="8" t="inlineStr"/>
      <c r="E1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2026-10-06T05:33:15Z</dcterms:created>
  <dcterms:modified xsi:type="dcterms:W3CDTF">2026-10-15T03:59:06Z</dcterms:modified>
  <cp:lastModifiedBy>OLIVER TUNGOL</cp:lastModifiedBy>
</cp:coreProperties>
</file>