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 Data Dictionary" sheetId="1" state="visible" r:id="rId1"/>
    <sheet xmlns:r="http://schemas.openxmlformats.org/officeDocument/2006/relationships" name="Tender Summary &amp; Instructions" sheetId="2" state="visible" r:id="rId2"/>
    <sheet xmlns:r="http://schemas.openxmlformats.org/officeDocument/2006/relationships" name="Lot 1 - RAN &amp; Rollout" sheetId="3" state="visible" r:id="rId3"/>
    <sheet xmlns:r="http://schemas.openxmlformats.org/officeDocument/2006/relationships" name="Lot 2 - Power &amp; Passive" sheetId="4" state="visible" r:id="rId4"/>
    <sheet xmlns:r="http://schemas.openxmlformats.org/officeDocument/2006/relationships" name="Lot 3 - 5G Core" sheetId="5" state="visible" r:id="rId5"/>
    <sheet xmlns:r="http://schemas.openxmlformats.org/officeDocument/2006/relationships" name="Lot 4 - OSS-BSS" sheetId="6" state="visible" r:id="rId6"/>
    <sheet xmlns:r="http://schemas.openxmlformats.org/officeDocument/2006/relationships" name="Lot 5 - Site Acq &amp; Civils" sheetId="7" state="visible" r:id="rId7"/>
    <sheet xmlns:r="http://schemas.openxmlformats.org/officeDocument/2006/relationships" name="Lot 6 - Managed Services" sheetId="8" state="visible" r:id="rId8"/>
    <sheet xmlns:r="http://schemas.openxmlformats.org/officeDocument/2006/relationships" name="Services SOW &amp; Rate Card" sheetId="9" state="visible" r:id="rId9"/>
    <sheet xmlns:r="http://schemas.openxmlformats.org/officeDocument/2006/relationships" name="Lot 7 - 5G CPE" sheetId="10" state="visible" r:id="rId10"/>
    <sheet xmlns:r="http://schemas.openxmlformats.org/officeDocument/2006/relationships" name="Form C - 10-Year TCO Schedule" sheetId="11" state="visible" r:id="rId11"/>
    <sheet xmlns:r="http://schemas.openxmlformats.org/officeDocument/2006/relationships" name="Form D - Vendor Financing" sheetId="12" state="visible" r:id="rId12"/>
  </sheets>
  <definedNames/>
  <calcPr calcId="124519" fullCalcOnLoad="1"/>
</workbook>
</file>

<file path=xl/styles.xml><?xml version="1.0" encoding="utf-8"?>
<styleSheet xmlns="http://schemas.openxmlformats.org/spreadsheetml/2006/main">
  <numFmts count="3">
    <numFmt numFmtId="164" formatCode="$#,##0.00"/>
    <numFmt numFmtId="165" formatCode="₱#,##0.00"/>
    <numFmt numFmtId="166" formatCode="0,##0.00"/>
  </numFmts>
  <fonts count="35">
    <font>
      <name val="Calibri"/>
      <family val="2"/>
      <color theme="1"/>
      <sz val="11"/>
      <scheme val="minor"/>
    </font>
    <font>
      <name val="Calibri"/>
      <b val="1"/>
      <color rgb="001F4E79"/>
      <sz val="14"/>
    </font>
    <font>
      <name val="Calibri"/>
      <i val="1"/>
      <sz val="11"/>
    </font>
    <font>
      <name val="Calibri"/>
      <b val="1"/>
      <sz val="11"/>
    </font>
    <font>
      <name val="Calibri"/>
      <b val="1"/>
      <color rgb="00FFFFFF"/>
      <sz val="11"/>
    </font>
    <font>
      <name val="Calibri"/>
      <sz val="11"/>
    </font>
    <font>
      <name val="Calibri"/>
      <i val="1"/>
      <color rgb="00595959"/>
      <sz val="10"/>
    </font>
    <font>
      <name val="Calibri"/>
      <b val="1"/>
      <color rgb="00FFFFFF"/>
      <sz val="10"/>
    </font>
    <font>
      <name val="Calibri"/>
      <color rgb="00000000"/>
      <sz val="10"/>
    </font>
    <font>
      <name val="Calibri"/>
      <b val="1"/>
      <color rgb="00000000"/>
      <sz val="10"/>
    </font>
    <font>
      <b val="1"/>
      <color rgb="00FFFFFF"/>
    </font>
    <font>
      <b val="1"/>
    </font>
    <font>
      <name val="Calibri"/>
      <b val="1"/>
      <color rgb="000F172A"/>
      <sz val="11"/>
    </font>
    <font>
      <name val="Calibri"/>
      <i val="1"/>
      <color rgb="00475569"/>
      <sz val="10"/>
    </font>
    <font>
      <name val="Calibri"/>
      <color rgb="001E293B"/>
      <sz val="10"/>
    </font>
    <font>
      <name val="Calibri"/>
      <color rgb="001E293B"/>
      <sz val="11"/>
    </font>
    <font>
      <name val="Calibri"/>
      <b val="1"/>
      <color rgb="0078350F"/>
      <sz val="10"/>
    </font>
    <font>
      <name val="Calibri"/>
      <i val="1"/>
      <color rgb="00595959"/>
      <sz val="9"/>
    </font>
    <font>
      <name val="Calibri"/>
      <b val="1"/>
      <color rgb="000F3460"/>
      <sz val="14"/>
    </font>
    <font>
      <name val="Calibri"/>
      <b val="1"/>
      <i val="1"/>
      <color rgb="000F3460"/>
      <sz val="9"/>
    </font>
    <font>
      <name val="Calibri"/>
      <b val="1"/>
      <color rgb="00FFFFFF"/>
      <sz val="9.5"/>
    </font>
    <font>
      <name val="Calibri"/>
      <b val="1"/>
      <color rgb="000F3460"/>
      <sz val="10"/>
    </font>
    <font>
      <name val="Calibri"/>
      <b val="1"/>
      <color rgb="0092400E"/>
      <sz val="9.5"/>
    </font>
    <font>
      <name val="Calibri"/>
      <b val="1"/>
      <color rgb="00166534"/>
      <sz val="9"/>
    </font>
    <font>
      <name val="Calibri"/>
      <color rgb="00334155"/>
      <sz val="9"/>
    </font>
    <font>
      <name val="Calibri"/>
      <b val="1"/>
      <color rgb="001E293B"/>
      <sz val="9"/>
    </font>
    <font>
      <name val="Calibri"/>
      <b val="1"/>
      <color rgb="000A192F"/>
      <sz val="13"/>
    </font>
    <font>
      <name val="Calibri"/>
      <i val="1"/>
      <color rgb="00475569"/>
      <sz val="9.5"/>
    </font>
    <font>
      <name val="Calibri"/>
      <color rgb="001E293B"/>
      <sz val="8.5"/>
    </font>
    <font>
      <name val="Calibri"/>
      <b val="1"/>
      <color rgb="00FFFFFF"/>
      <sz val="9"/>
    </font>
    <font>
      <name val="Calibri"/>
      <b val="1"/>
      <color rgb="000A192F"/>
      <sz val="9.5"/>
    </font>
    <font>
      <name val="Calibri"/>
      <color rgb="00475569"/>
      <sz val="8"/>
    </font>
    <font>
      <name val="Calibri"/>
      <b val="1"/>
      <color rgb="0092400E"/>
      <sz val="9"/>
    </font>
    <font>
      <name val="Calibri"/>
      <color rgb="00334155"/>
      <sz val="8.5"/>
    </font>
    <font>
      <name val="Calibri"/>
      <b val="1"/>
      <color rgb="00FFFFFF"/>
      <sz val="10.5"/>
    </font>
  </fonts>
  <fills count="19">
    <fill>
      <patternFill/>
    </fill>
    <fill>
      <patternFill patternType="gray125"/>
    </fill>
    <fill>
      <patternFill patternType="solid">
        <fgColor rgb="001F4E79"/>
        <bgColor rgb="001F4E79"/>
      </patternFill>
    </fill>
    <fill>
      <patternFill patternType="solid">
        <fgColor rgb="00FFFFCC"/>
        <bgColor rgb="00FFFFCC"/>
      </patternFill>
    </fill>
    <fill>
      <patternFill patternType="solid">
        <fgColor rgb="00D9E1F2"/>
        <bgColor rgb="00D9E1F2"/>
      </patternFill>
    </fill>
    <fill>
      <patternFill patternType="solid">
        <fgColor rgb="000A192F"/>
      </patternFill>
    </fill>
    <fill>
      <patternFill patternType="solid">
        <fgColor rgb="00E2E8F0"/>
      </patternFill>
    </fill>
    <fill>
      <patternFill patternType="solid">
        <fgColor rgb="00FFFFFF"/>
        <bgColor rgb="00FFFFFF"/>
      </patternFill>
    </fill>
    <fill>
      <patternFill patternType="solid">
        <fgColor rgb="00F9FAFB"/>
        <bgColor rgb="00F9FAFB"/>
      </patternFill>
    </fill>
    <fill>
      <patternFill patternType="solid">
        <fgColor rgb="00FFF2CC"/>
        <bgColor rgb="00FFF2CC"/>
      </patternFill>
    </fill>
    <fill>
      <patternFill patternType="solid">
        <fgColor rgb="00F2F2F2"/>
        <bgColor rgb="00F2F2F2"/>
      </patternFill>
    </fill>
    <fill>
      <patternFill patternType="solid">
        <fgColor rgb="000F3460"/>
        <bgColor rgb="000F3460"/>
      </patternFill>
    </fill>
    <fill>
      <patternFill patternType="solid">
        <fgColor rgb="00E2E8F0"/>
        <bgColor rgb="00E2E8F0"/>
      </patternFill>
    </fill>
    <fill>
      <patternFill patternType="solid">
        <fgColor rgb="00FEF3C7"/>
        <bgColor rgb="00FEF3C7"/>
      </patternFill>
    </fill>
    <fill>
      <patternFill patternType="solid">
        <fgColor rgb="00F0FDF4"/>
        <bgColor rgb="00F0FDF4"/>
      </patternFill>
    </fill>
    <fill>
      <patternFill patternType="solid">
        <fgColor rgb="000A192F"/>
        <bgColor rgb="000A192F"/>
      </patternFill>
    </fill>
    <fill>
      <patternFill patternType="solid">
        <fgColor rgb="00F1F5F9"/>
        <bgColor rgb="00F1F5F9"/>
      </patternFill>
    </fill>
    <fill>
      <patternFill patternType="solid">
        <fgColor rgb="001E293B"/>
        <bgColor rgb="001E293B"/>
      </patternFill>
    </fill>
    <fill>
      <patternFill patternType="solid">
        <fgColor rgb="00F8FAFC"/>
        <bgColor rgb="00F8FAFC"/>
      </patternFill>
    </fill>
  </fills>
  <borders count="16">
    <border>
      <left/>
      <right/>
      <top/>
      <bottom/>
      <diagonal/>
    </border>
    <border>
      <left style="thin">
        <color rgb="00BFBFBF"/>
      </left>
      <right style="thin">
        <color rgb="00BFBFBF"/>
      </right>
      <top style="thin">
        <color rgb="00BFBFBF"/>
      </top>
      <bottom style="thin">
        <color rgb="00BFBFBF"/>
      </bottom>
    </border>
    <border>
      <left style="thin">
        <color rgb="00D3D3D3"/>
      </left>
      <right style="thin">
        <color rgb="00D3D3D3"/>
      </right>
      <top style="thin">
        <color rgb="00D3D3D3"/>
      </top>
      <bottom style="thin">
        <color rgb="00D3D3D3"/>
      </bottom>
    </border>
    <border>
      <left style="thin">
        <color rgb="00D3D3D3"/>
      </left>
      <right style="thin">
        <color rgb="00D3D3D3"/>
      </right>
      <top style="thin">
        <color rgb="001F4E79"/>
      </top>
      <bottom style="double">
        <color rgb="001F4E79"/>
      </bottom>
    </border>
    <border/>
    <border>
      <left style="thin">
        <color rgb="00D9D9D9"/>
      </left>
      <right style="thin">
        <color rgb="00D9D9D9"/>
      </right>
      <top style="thin">
        <color rgb="00D9D9D9"/>
      </top>
      <bottom style="thin">
        <color rgb="00D9D9D9"/>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
      <left style="thin">
        <color rgb="00CBD5E1"/>
      </left>
      <right style="thin">
        <color rgb="00CBD5E1"/>
      </right>
      <top style="thin">
        <color rgb="00CBD5E1"/>
      </top>
      <bottom style="thin">
        <color rgb="00CBD5E1"/>
      </bottom>
    </border>
    <border>
      <left/>
      <right/>
      <top style="thin">
        <color rgb="00CBD5E1"/>
      </top>
      <bottom/>
      <diagonal/>
    </border>
    <border>
      <left/>
      <right style="thin">
        <color rgb="00CBD5E1"/>
      </right>
      <top style="thin">
        <color rgb="00CBD5E1"/>
      </top>
      <bottom/>
      <diagonal/>
    </border>
    <border>
      <left/>
      <right/>
      <top style="thin">
        <color rgb="00CBD5E1"/>
      </top>
      <bottom style="thin">
        <color rgb="00CBD5E1"/>
      </bottom>
      <diagonal/>
    </border>
    <border>
      <left/>
      <right style="thin">
        <color rgb="00CBD5E1"/>
      </right>
      <top style="thin">
        <color rgb="00CBD5E1"/>
      </top>
      <bottom style="thin">
        <color rgb="00CBD5E1"/>
      </bottom>
      <diagonal/>
    </border>
    <border>
      <left style="thin">
        <color rgb="00CBD5E1"/>
      </left>
      <right style="thin">
        <color rgb="00CBD5E1"/>
      </right>
      <top style="thin">
        <color rgb="00CBD5E1"/>
      </top>
      <bottom style="double">
        <color rgb="000A192F"/>
      </bottom>
    </border>
  </borders>
  <cellStyleXfs count="1">
    <xf numFmtId="0" fontId="0" fillId="0" borderId="0"/>
  </cellStyleXfs>
  <cellXfs count="1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wrapText="1"/>
    </xf>
    <xf numFmtId="0" fontId="3" fillId="0" borderId="1" pivotButton="0" quotePrefix="0" xfId="0"/>
    <xf numFmtId="0" fontId="5" fillId="0" borderId="1" pivotButton="0" quotePrefix="0" xfId="0"/>
    <xf numFmtId="0" fontId="5" fillId="0" borderId="0" pivotButton="0" quotePrefix="0" xfId="0"/>
    <xf numFmtId="0" fontId="5" fillId="3" borderId="1" pivotButton="0" quotePrefix="0" xfId="0"/>
    <xf numFmtId="0" fontId="0" fillId="0" borderId="1" pivotButton="0" quotePrefix="0" xfId="0"/>
    <xf numFmtId="0" fontId="3" fillId="4" borderId="1" pivotButton="0" quotePrefix="0" xfId="0"/>
    <xf numFmtId="0" fontId="5" fillId="4" borderId="1" pivotButton="0" quotePrefix="0" xfId="0"/>
    <xf numFmtId="0" fontId="0" fillId="4" borderId="1" pivotButton="0" quotePrefix="0" xfId="0"/>
    <xf numFmtId="0" fontId="4" fillId="2" borderId="1" pivotButton="0" quotePrefix="0" xfId="0"/>
    <xf numFmtId="0" fontId="0" fillId="3" borderId="1" pivotButton="0" quotePrefix="0" xfId="0"/>
    <xf numFmtId="0" fontId="0" fillId="3" borderId="0" pivotButton="0" quotePrefix="0" xfId="0"/>
    <xf numFmtId="0" fontId="4" fillId="2" borderId="0" pivotButton="0" quotePrefix="0" xfId="0"/>
    <xf numFmtId="0" fontId="5" fillId="0" borderId="0" applyAlignment="1" pivotButton="0" quotePrefix="0" xfId="0">
      <alignment vertical="center"/>
    </xf>
    <xf numFmtId="0" fontId="6" fillId="0" borderId="0" pivotButton="0" quotePrefix="0" xfId="0"/>
    <xf numFmtId="0" fontId="7" fillId="2" borderId="2" applyAlignment="1" pivotButton="0" quotePrefix="0" xfId="0">
      <alignment horizontal="center" vertical="center"/>
    </xf>
    <xf numFmtId="0" fontId="7" fillId="2" borderId="2" applyAlignment="1" pivotButton="0" quotePrefix="0" xfId="0">
      <alignment horizontal="left" vertical="center"/>
    </xf>
    <xf numFmtId="0" fontId="7" fillId="2" borderId="2" applyAlignment="1" pivotButton="0" quotePrefix="0" xfId="0">
      <alignment horizontal="right" vertical="center"/>
    </xf>
    <xf numFmtId="0" fontId="8" fillId="0" borderId="2" applyAlignment="1" pivotButton="0" quotePrefix="0" xfId="0">
      <alignment horizontal="center" vertical="center"/>
    </xf>
    <xf numFmtId="0" fontId="8" fillId="0" borderId="2" applyAlignment="1" pivotButton="0" quotePrefix="0" xfId="0">
      <alignment horizontal="left" vertical="center"/>
    </xf>
    <xf numFmtId="164" fontId="8" fillId="3" borderId="2" applyAlignment="1" pivotButton="0" quotePrefix="0" xfId="0">
      <alignment horizontal="right" vertical="center"/>
    </xf>
    <xf numFmtId="165" fontId="8" fillId="0" borderId="2" applyAlignment="1" pivotButton="0" quotePrefix="0" xfId="0">
      <alignment horizontal="right" vertical="center"/>
    </xf>
    <xf numFmtId="0" fontId="9" fillId="4" borderId="3" applyAlignment="1" pivotButton="0" quotePrefix="0" xfId="0">
      <alignment horizontal="center" vertical="center"/>
    </xf>
    <xf numFmtId="0" fontId="9" fillId="4" borderId="3" applyAlignment="1" pivotButton="0" quotePrefix="0" xfId="0">
      <alignment horizontal="left" vertical="center"/>
    </xf>
    <xf numFmtId="164" fontId="9" fillId="4" borderId="3" applyAlignment="1" pivotButton="0" quotePrefix="0" xfId="0">
      <alignment horizontal="right" vertical="center"/>
    </xf>
    <xf numFmtId="165" fontId="9" fillId="4" borderId="3" applyAlignment="1" pivotButton="0" quotePrefix="0" xfId="0">
      <alignment horizontal="right" vertical="center"/>
    </xf>
    <xf numFmtId="0" fontId="9" fillId="4" borderId="3" pivotButton="0" quotePrefix="0" xfId="0"/>
    <xf numFmtId="0" fontId="8" fillId="3" borderId="2" applyAlignment="1" pivotButton="0" quotePrefix="0" xfId="0">
      <alignment horizontal="center" vertical="center"/>
    </xf>
    <xf numFmtId="164" fontId="8" fillId="0" borderId="2" applyAlignment="1" pivotButton="0" quotePrefix="0" xfId="0">
      <alignment horizontal="right" vertical="center"/>
    </xf>
    <xf numFmtId="0" fontId="9" fillId="4" borderId="3" applyAlignment="1" pivotButton="0" quotePrefix="0" xfId="0">
      <alignment horizontal="right" vertical="center"/>
    </xf>
    <xf numFmtId="0" fontId="8" fillId="0" borderId="2" pivotButton="0" quotePrefix="0" xfId="0"/>
    <xf numFmtId="164" fontId="8" fillId="3" borderId="2" pivotButton="0" quotePrefix="0" xfId="0"/>
    <xf numFmtId="164" fontId="8" fillId="0" borderId="2" pivotButton="0" quotePrefix="0" xfId="0"/>
    <xf numFmtId="0" fontId="10" fillId="5" borderId="0" pivotButton="0" quotePrefix="0" xfId="0"/>
    <xf numFmtId="0" fontId="11" fillId="6" borderId="0" pivotButton="0" quotePrefix="0" xfId="0"/>
    <xf numFmtId="0" fontId="12" fillId="7" borderId="5" applyAlignment="1" pivotButton="0" quotePrefix="0" xfId="0">
      <alignment vertical="top"/>
    </xf>
    <xf numFmtId="0" fontId="13" fillId="7" borderId="5" applyAlignment="1" pivotButton="0" quotePrefix="0" xfId="0">
      <alignment vertical="top"/>
    </xf>
    <xf numFmtId="0" fontId="14" fillId="7" borderId="5" applyAlignment="1" pivotButton="0" quotePrefix="0" xfId="0">
      <alignment vertical="top"/>
    </xf>
    <xf numFmtId="0" fontId="15" fillId="7" borderId="5" applyAlignment="1" pivotButton="0" quotePrefix="0" xfId="0">
      <alignment vertical="top" wrapText="1"/>
    </xf>
    <xf numFmtId="0" fontId="12" fillId="8" borderId="5" applyAlignment="1" pivotButton="0" quotePrefix="0" xfId="0">
      <alignment vertical="top"/>
    </xf>
    <xf numFmtId="0" fontId="13" fillId="8" borderId="5" applyAlignment="1" pivotButton="0" quotePrefix="0" xfId="0">
      <alignment vertical="top"/>
    </xf>
    <xf numFmtId="0" fontId="14" fillId="8" borderId="5" applyAlignment="1" pivotButton="0" quotePrefix="0" xfId="0">
      <alignment vertical="top"/>
    </xf>
    <xf numFmtId="0" fontId="15" fillId="8" borderId="5" applyAlignment="1" pivotButton="0" quotePrefix="0" xfId="0">
      <alignment vertical="top" wrapText="1"/>
    </xf>
    <xf numFmtId="0" fontId="16" fillId="9" borderId="5" applyAlignment="1" pivotButton="0" quotePrefix="0" xfId="0">
      <alignment vertical="top"/>
    </xf>
    <xf numFmtId="0" fontId="4" fillId="2" borderId="2" applyAlignment="1" pivotButton="0" quotePrefix="0" xfId="0">
      <alignment horizontal="center" vertical="center" wrapText="1"/>
    </xf>
    <xf numFmtId="0" fontId="5" fillId="7" borderId="5" applyAlignment="1" pivotButton="0" quotePrefix="0" xfId="0">
      <alignment horizontal="center" vertical="center"/>
    </xf>
    <xf numFmtId="0" fontId="5" fillId="7" borderId="5" applyAlignment="1" pivotButton="0" quotePrefix="0" xfId="0">
      <alignment horizontal="left" vertical="center"/>
    </xf>
    <xf numFmtId="0" fontId="5" fillId="7" borderId="5" applyAlignment="1" pivotButton="0" quotePrefix="0" xfId="0">
      <alignment horizontal="left" vertical="center" wrapText="1"/>
    </xf>
    <xf numFmtId="164" fontId="5" fillId="7" borderId="5" applyAlignment="1" pivotButton="0" quotePrefix="0" xfId="0">
      <alignment horizontal="center" vertical="center"/>
    </xf>
    <xf numFmtId="166" fontId="5" fillId="9" borderId="5" applyAlignment="1" pivotButton="0" quotePrefix="0" xfId="0">
      <alignment horizontal="right" vertical="center"/>
    </xf>
    <xf numFmtId="165" fontId="5" fillId="7" borderId="5" applyAlignment="1" pivotButton="0" quotePrefix="0" xfId="0">
      <alignment horizontal="right" vertical="center"/>
    </xf>
    <xf numFmtId="166" fontId="5" fillId="7" borderId="5" applyAlignment="1" pivotButton="0" quotePrefix="0" xfId="0">
      <alignment horizontal="right" vertical="center"/>
    </xf>
    <xf numFmtId="0" fontId="5" fillId="10" borderId="5" applyAlignment="1" pivotButton="0" quotePrefix="0" xfId="0">
      <alignment horizontal="center" vertical="center"/>
    </xf>
    <xf numFmtId="0" fontId="5" fillId="10" borderId="5" applyAlignment="1" pivotButton="0" quotePrefix="0" xfId="0">
      <alignment horizontal="left" vertical="center"/>
    </xf>
    <xf numFmtId="0" fontId="5" fillId="10" borderId="5" applyAlignment="1" pivotButton="0" quotePrefix="0" xfId="0">
      <alignment horizontal="left" vertical="center" wrapText="1"/>
    </xf>
    <xf numFmtId="164" fontId="5" fillId="10" borderId="5" applyAlignment="1" pivotButton="0" quotePrefix="0" xfId="0">
      <alignment horizontal="center" vertical="center"/>
    </xf>
    <xf numFmtId="165" fontId="5" fillId="10" borderId="5" applyAlignment="1" pivotButton="0" quotePrefix="0" xfId="0">
      <alignment horizontal="right" vertical="center"/>
    </xf>
    <xf numFmtId="166" fontId="5" fillId="10" borderId="5" applyAlignment="1" pivotButton="0" quotePrefix="0" xfId="0">
      <alignment horizontal="right" vertical="center"/>
    </xf>
    <xf numFmtId="0" fontId="3" fillId="4" borderId="5" applyAlignment="1" pivotButton="0" quotePrefix="0" xfId="0">
      <alignment horizontal="center" vertical="center"/>
    </xf>
    <xf numFmtId="0" fontId="3" fillId="4" borderId="5" applyAlignment="1" pivotButton="0" quotePrefix="0" xfId="0">
      <alignment horizontal="left" vertical="center"/>
    </xf>
    <xf numFmtId="164" fontId="3" fillId="4" borderId="5" applyAlignment="1" pivotButton="0" quotePrefix="0" xfId="0">
      <alignment horizontal="center" vertical="center"/>
    </xf>
    <xf numFmtId="166" fontId="3" fillId="4" borderId="5" applyAlignment="1" pivotButton="0" quotePrefix="0" xfId="0">
      <alignment horizontal="right" vertical="center"/>
    </xf>
    <xf numFmtId="0" fontId="17" fillId="0" borderId="0" pivotButton="0" quotePrefix="0" xfId="0"/>
    <xf numFmtId="164" fontId="5" fillId="9" borderId="5" applyAlignment="1" pivotButton="0" quotePrefix="0" xfId="0">
      <alignment horizontal="right" vertical="center"/>
    </xf>
    <xf numFmtId="164" fontId="5" fillId="7" borderId="5" applyAlignment="1" pivotButton="0" quotePrefix="0" xfId="0">
      <alignment horizontal="right" vertical="center"/>
    </xf>
    <xf numFmtId="164" fontId="5" fillId="10" borderId="5" applyAlignment="1" pivotButton="0" quotePrefix="0" xfId="0">
      <alignment horizontal="right" vertical="center"/>
    </xf>
    <xf numFmtId="164" fontId="3" fillId="4" borderId="5" applyAlignment="1" pivotButton="0" quotePrefix="0" xfId="0">
      <alignment horizontal="right" vertical="center"/>
    </xf>
    <xf numFmtId="0" fontId="17" fillId="4" borderId="1" pivotButton="0" quotePrefix="0" xfId="0"/>
    <xf numFmtId="0" fontId="0" fillId="0" borderId="8" pivotButton="0" quotePrefix="0" xfId="0"/>
    <xf numFmtId="0" fontId="0" fillId="0" borderId="9" pivotButton="0" quotePrefix="0" xfId="0"/>
    <xf numFmtId="0" fontId="18" fillId="0" borderId="0" applyAlignment="1" pivotButton="0" quotePrefix="0" xfId="0">
      <alignment vertical="center"/>
    </xf>
    <xf numFmtId="0" fontId="13" fillId="0" borderId="0" applyAlignment="1" pivotButton="0" quotePrefix="0" xfId="0">
      <alignment vertical="center"/>
    </xf>
    <xf numFmtId="0" fontId="19" fillId="0" borderId="0" applyAlignment="1" pivotButton="0" quotePrefix="0" xfId="0">
      <alignment vertical="center"/>
    </xf>
    <xf numFmtId="0" fontId="20" fillId="11" borderId="10" applyAlignment="1" pivotButton="0" quotePrefix="0" xfId="0">
      <alignment horizontal="center" vertical="center" wrapText="1"/>
    </xf>
    <xf numFmtId="0" fontId="21" fillId="12" borderId="10" applyAlignment="1" pivotButton="0" quotePrefix="0" xfId="0">
      <alignment horizontal="left" vertical="center"/>
    </xf>
    <xf numFmtId="0" fontId="0" fillId="0" borderId="10" pivotButton="0" quotePrefix="0" xfId="0"/>
    <xf numFmtId="0" fontId="25" fillId="0" borderId="10" applyAlignment="1" pivotButton="0" quotePrefix="0" xfId="0">
      <alignment horizontal="center" vertical="center"/>
    </xf>
    <xf numFmtId="0" fontId="24" fillId="0" borderId="10" applyAlignment="1" pivotButton="0" quotePrefix="0" xfId="0">
      <alignment horizontal="left" vertical="center" wrapText="1"/>
    </xf>
    <xf numFmtId="3" fontId="24" fillId="0" borderId="10" applyAlignment="1" pivotButton="0" quotePrefix="0" xfId="0">
      <alignment horizontal="center" vertical="center"/>
    </xf>
    <xf numFmtId="164" fontId="22" fillId="13" borderId="10" applyAlignment="1" pivotButton="0" quotePrefix="0" xfId="0">
      <alignment horizontal="right" vertical="center"/>
    </xf>
    <xf numFmtId="165" fontId="23" fillId="14" borderId="10" applyAlignment="1" pivotButton="0" quotePrefix="0" xfId="0">
      <alignment horizontal="right" vertical="center"/>
    </xf>
    <xf numFmtId="164" fontId="23" fillId="14" borderId="10" applyAlignment="1" pivotButton="0" quotePrefix="0" xfId="0">
      <alignment horizontal="right" vertical="center"/>
    </xf>
    <xf numFmtId="0" fontId="7" fillId="11" borderId="10" applyAlignment="1" pivotButton="0" quotePrefix="0" xfId="0">
      <alignment horizontal="right" vertical="center"/>
    </xf>
    <xf numFmtId="164" fontId="7" fillId="11" borderId="10" applyAlignment="1" pivotButton="0" quotePrefix="0" xfId="0">
      <alignment horizontal="right" vertical="center"/>
    </xf>
    <xf numFmtId="0" fontId="0" fillId="11" borderId="10" pivotButton="0" quotePrefix="0" xfId="0"/>
    <xf numFmtId="0" fontId="0" fillId="0" borderId="13" pivotButton="0" quotePrefix="0" xfId="0"/>
    <xf numFmtId="0" fontId="0" fillId="0" borderId="14" pivotButton="0" quotePrefix="0" xfId="0"/>
    <xf numFmtId="0" fontId="26" fillId="0" borderId="0" applyAlignment="1" pivotButton="0" quotePrefix="0" xfId="0">
      <alignment vertical="center"/>
    </xf>
    <xf numFmtId="0" fontId="27" fillId="0" borderId="0" applyAlignment="1" pivotButton="0" quotePrefix="0" xfId="0">
      <alignment vertical="center"/>
    </xf>
    <xf numFmtId="0" fontId="28" fillId="0" borderId="0" applyAlignment="1" pivotButton="0" quotePrefix="0" xfId="0">
      <alignment vertical="center" wrapText="1"/>
    </xf>
    <xf numFmtId="0" fontId="29" fillId="15" borderId="10" applyAlignment="1" pivotButton="0" quotePrefix="0" xfId="0">
      <alignment horizontal="center" vertical="center" wrapText="1"/>
    </xf>
    <xf numFmtId="0" fontId="30" fillId="12" borderId="0" applyAlignment="1" pivotButton="0" quotePrefix="0" xfId="0">
      <alignment horizontal="left" vertical="center"/>
    </xf>
    <xf numFmtId="0" fontId="33" fillId="0" borderId="10" applyAlignment="1" pivotButton="0" quotePrefix="0" xfId="0">
      <alignment horizontal="left" vertical="center" wrapText="1"/>
    </xf>
    <xf numFmtId="0" fontId="31" fillId="0" borderId="10" applyAlignment="1" pivotButton="0" quotePrefix="0" xfId="0">
      <alignment horizontal="left" vertical="center" wrapText="1"/>
    </xf>
    <xf numFmtId="3" fontId="33" fillId="0" borderId="10" applyAlignment="1" pivotButton="0" quotePrefix="0" xfId="0">
      <alignment horizontal="center" vertical="center"/>
    </xf>
    <xf numFmtId="164" fontId="32" fillId="13" borderId="10" applyAlignment="1" pivotButton="0" quotePrefix="0" xfId="0">
      <alignment horizontal="right" vertical="center"/>
    </xf>
    <xf numFmtId="0" fontId="27" fillId="0" borderId="10" applyAlignment="1" pivotButton="0" quotePrefix="0" xfId="0">
      <alignment horizontal="center" vertical="center"/>
    </xf>
    <xf numFmtId="164" fontId="27" fillId="16" borderId="10" applyAlignment="1" pivotButton="0" quotePrefix="0" xfId="0">
      <alignment horizontal="right" vertical="center"/>
    </xf>
    <xf numFmtId="165" fontId="27" fillId="16" borderId="10" applyAlignment="1" pivotButton="0" quotePrefix="0" xfId="0">
      <alignment horizontal="right" vertical="center"/>
    </xf>
    <xf numFmtId="0" fontId="20" fillId="11" borderId="10" applyAlignment="1" pivotButton="0" quotePrefix="0" xfId="0">
      <alignment horizontal="right" vertical="center"/>
    </xf>
    <xf numFmtId="164" fontId="20" fillId="11" borderId="10" applyAlignment="1" pivotButton="0" quotePrefix="0" xfId="0">
      <alignment horizontal="right" vertical="center"/>
    </xf>
    <xf numFmtId="0" fontId="20" fillId="11" borderId="10" pivotButton="0" quotePrefix="0" xfId="0"/>
    <xf numFmtId="0" fontId="20" fillId="17" borderId="10" applyAlignment="1" pivotButton="0" quotePrefix="0" xfId="0">
      <alignment horizontal="right" vertical="center"/>
    </xf>
    <xf numFmtId="164" fontId="20" fillId="17" borderId="10" applyAlignment="1" pivotButton="0" quotePrefix="0" xfId="0">
      <alignment horizontal="right" vertical="center"/>
    </xf>
    <xf numFmtId="0" fontId="20" fillId="17" borderId="10" pivotButton="0" quotePrefix="0" xfId="0"/>
    <xf numFmtId="0" fontId="0" fillId="17" borderId="10" pivotButton="0" quotePrefix="0" xfId="0"/>
    <xf numFmtId="0" fontId="34" fillId="15" borderId="15" applyAlignment="1" pivotButton="0" quotePrefix="0" xfId="0">
      <alignment horizontal="right" vertical="center"/>
    </xf>
    <xf numFmtId="0" fontId="0" fillId="0" borderId="15" pivotButton="0" quotePrefix="0" xfId="0"/>
    <xf numFmtId="164" fontId="34" fillId="15" borderId="15" applyAlignment="1" pivotButton="0" quotePrefix="0" xfId="0">
      <alignment horizontal="right" vertical="center"/>
    </xf>
    <xf numFmtId="0" fontId="34" fillId="15" borderId="15" pivotButton="0" quotePrefix="0" xfId="0"/>
    <xf numFmtId="0" fontId="0" fillId="15" borderId="15" pivotButton="0" quotePrefix="0" xfId="0"/>
    <xf numFmtId="165" fontId="34" fillId="15" borderId="15" applyAlignment="1" pivotButton="0" quotePrefix="0" xfId="0">
      <alignment horizontal="right" vertical="center"/>
    </xf>
    <xf numFmtId="0" fontId="20" fillId="11" borderId="0" applyAlignment="1" pivotButton="0" quotePrefix="0" xfId="0">
      <alignment horizontal="center" vertical="center"/>
    </xf>
    <xf numFmtId="0" fontId="25" fillId="12" borderId="10" applyAlignment="1" pivotButton="0" quotePrefix="0" xfId="0">
      <alignment horizontal="center" vertical="center" wrapText="1"/>
    </xf>
    <xf numFmtId="0" fontId="25" fillId="18" borderId="10" applyAlignment="1" pivotButton="0" quotePrefix="0" xfId="0">
      <alignment horizontal="left" vertical="center" wrapText="1"/>
    </xf>
    <xf numFmtId="0" fontId="33" fillId="18" borderId="10" applyAlignment="1" pivotButton="0" quotePrefix="0" xfId="0">
      <alignment horizontal="left" vertical="center" wrapText="1"/>
    </xf>
    <xf numFmtId="0" fontId="25" fillId="18" borderId="10" applyAlignment="1" pivotButton="0" quotePrefix="0" xfId="0">
      <alignment horizontal="center" vertical="center" wrapText="1"/>
    </xf>
    <xf numFmtId="0" fontId="30" fillId="0" borderId="0" pivotButton="0" quotePrefix="0" xfId="0"/>
    <xf numFmtId="0" fontId="3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83"/>
  <sheetViews>
    <sheetView showGridLines="1" workbookViewId="0">
      <selection activeCell="A1" sqref="A1"/>
    </sheetView>
  </sheetViews>
  <sheetFormatPr baseColWidth="8" defaultRowHeight="15"/>
  <cols>
    <col width="28" customWidth="1" min="1" max="1"/>
    <col width="34" customWidth="1" min="2" max="2"/>
    <col width="20" customWidth="1" min="3" max="3"/>
    <col width="24" customWidth="1" min="4" max="4"/>
    <col width="85" customWidth="1" min="5" max="5"/>
  </cols>
  <sheetData>
    <row r="1">
      <c r="A1" s="1" t="inlineStr">
        <is>
          <t>RFP COMMERCIAL PRICE BOOK &amp; BILL OF QUANTITIES — DATA DICTIONARY &amp; READ ME</t>
        </is>
      </c>
    </row>
    <row r="2">
      <c r="A2" s="2" t="inlineStr">
        <is>
          <t>Project: Nationwide 5G FWA Network (Band n50, 60 MHz NCR / up to 80 MHz Provincial, Software-Configurable 40/50/60/80 MHz TDD) | 5,000 Sites Footprint</t>
        </is>
      </c>
    </row>
    <row r="3">
      <c r="A3" s="3" t="inlineStr">
        <is>
          <t>Operator: Telecommunications Technology Solutions Incorporated (TelTech) | Author: OLIVER TUNGOL</t>
        </is>
      </c>
    </row>
    <row r="4">
      <c r="A4" t="inlineStr">
        <is>
          <t>Tender Ref: RFP-TELTECH-FWA-2026-001 | Version: Official Bidding Version (Blank BoQ) | Date: October 14, 2026</t>
        </is>
      </c>
    </row>
    <row r="6">
      <c r="A6" s="4" t="inlineStr">
        <is>
          <t>Tab Ref / Sheet Name</t>
        </is>
      </c>
      <c r="B6" s="4" t="inlineStr">
        <is>
          <t>Column Header</t>
        </is>
      </c>
      <c r="C6" s="4" t="inlineStr">
        <is>
          <t>Data Type</t>
        </is>
      </c>
      <c r="D6" s="4" t="inlineStr">
        <is>
          <t>Required / Formula</t>
        </is>
      </c>
      <c r="E6" s="4" t="inlineStr">
        <is>
          <t>Operational Definition &amp; Engineering Purpose for Bidders</t>
        </is>
      </c>
    </row>
    <row r="7">
      <c r="A7" s="39" t="inlineStr">
        <is>
          <t>Tender Summary &amp; Instructions</t>
        </is>
      </c>
      <c r="B7" s="39" t="inlineStr">
        <is>
          <t>Instructions &amp; Summary</t>
        </is>
      </c>
      <c r="C7" s="40" t="inlineStr">
        <is>
          <t>Text / Matrix</t>
        </is>
      </c>
      <c r="D7" s="41" t="inlineStr">
        <is>
          <t>Informational</t>
        </is>
      </c>
      <c r="E7" s="42" t="inlineStr">
        <is>
          <t>Overview of bidding currency (USD/PHP), 180-day price validity, scope boundaries, yellow input cell guidelines, and lot descriptions.</t>
        </is>
      </c>
    </row>
    <row r="8">
      <c r="A8" s="43" t="inlineStr">
        <is>
          <t>Lot 1 - RAN &amp; Rollout</t>
        </is>
      </c>
      <c r="B8" s="43" t="inlineStr">
        <is>
          <t>Item Code</t>
        </is>
      </c>
      <c r="C8" s="44" t="inlineStr">
        <is>
          <t>Alphanumeric Code</t>
        </is>
      </c>
      <c r="D8" s="45" t="inlineStr">
        <is>
          <t>Mandatory Code</t>
        </is>
      </c>
      <c r="E8" s="46" t="inlineStr">
        <is>
          <t>Unique reference identifier for RAN hardware and services (e.g. RAN-HW-01 for BBU, RAN-SVC-01 for PMO / Mobilization).</t>
        </is>
      </c>
    </row>
    <row r="9">
      <c r="A9" s="39" t="inlineStr">
        <is>
          <t>Lot 1 - RAN &amp; Rollout</t>
        </is>
      </c>
      <c r="B9" s="39" t="inlineStr">
        <is>
          <t>Item Description</t>
        </is>
      </c>
      <c r="C9" s="40" t="inlineStr">
        <is>
          <t>Text Description</t>
        </is>
      </c>
      <c r="D9" s="41" t="inlineStr">
        <is>
          <t>Specification</t>
        </is>
      </c>
      <c r="E9" s="42" t="inlineStr">
        <is>
          <t>Commercial name of the access equipment subsystem or turnkey rollout engineering activity.</t>
        </is>
      </c>
    </row>
    <row r="10">
      <c r="A10" s="43" t="inlineStr">
        <is>
          <t>Lot 1 - RAN &amp; Rollout</t>
        </is>
      </c>
      <c r="B10" s="43" t="inlineStr">
        <is>
          <t>Detailed Technical Specification</t>
        </is>
      </c>
      <c r="C10" s="44" t="inlineStr">
        <is>
          <t>Text Description</t>
        </is>
      </c>
      <c r="D10" s="45" t="inlineStr">
        <is>
          <t>Compliance Basis</t>
        </is>
      </c>
      <c r="E10" s="46" t="inlineStr">
        <is>
          <t>Mandatory technical standards (e.g., Band n50, 60 MHz NCR / up to 80 MHz Provincial, Software-Configurable 40/50/60/80 MHz TDD, 8T8R 320W RF power, eCPRI interfaces).</t>
        </is>
      </c>
    </row>
    <row r="11">
      <c r="A11" s="39" t="inlineStr">
        <is>
          <t>Lot 1 - RAN &amp; Rollout</t>
        </is>
      </c>
      <c r="B11" s="39" t="inlineStr">
        <is>
          <t>Qty / Site</t>
        </is>
      </c>
      <c r="C11" s="40" t="inlineStr">
        <is>
          <t>Integer</t>
        </is>
      </c>
      <c r="D11" s="41" t="inlineStr">
        <is>
          <t>Dimensioning</t>
        </is>
      </c>
      <c r="E11" s="42" t="inlineStr">
        <is>
          <t>Standard quantity deployed per macro site (e.g., 1 BBU, 3 RRUs, 3 Antennas per 3-sector macro BTS).</t>
        </is>
      </c>
    </row>
    <row r="12">
      <c r="A12" s="43" t="inlineStr">
        <is>
          <t>Lot 1 - RAN &amp; Rollout</t>
        </is>
      </c>
      <c r="B12" s="43" t="inlineStr">
        <is>
          <t>UoM</t>
        </is>
      </c>
      <c r="C12" s="44" t="inlineStr">
        <is>
          <t>Unit of Measure</t>
        </is>
      </c>
      <c r="D12" s="45" t="inlineStr">
        <is>
          <t>Standard UoM</t>
        </is>
      </c>
      <c r="E12" s="46" t="inlineStr">
        <is>
          <t>Commercial billing unit: set, lot, site, or system.</t>
        </is>
      </c>
    </row>
    <row r="13">
      <c r="A13" s="39" t="inlineStr">
        <is>
          <t>Lot 1 - RAN &amp; Rollout</t>
        </is>
      </c>
      <c r="B13" s="39" t="inlineStr">
        <is>
          <t>Unit Rate (USD)</t>
        </is>
      </c>
      <c r="C13" s="40" t="inlineStr">
        <is>
          <t>Currency ($ USD)</t>
        </is>
      </c>
      <c r="D13" s="47" t="inlineStr">
        <is>
          <t>BIDDER TO QUOTE</t>
        </is>
      </c>
      <c r="E13" s="42" t="inlineStr">
        <is>
          <t>Firm, fixed unit price quoted by Bidder in US Dollars (Yellow input cells).</t>
        </is>
      </c>
    </row>
    <row r="14">
      <c r="A14" s="43" t="inlineStr">
        <is>
          <t>Lot 1 - RAN &amp; Rollout</t>
        </is>
      </c>
      <c r="B14" s="43" t="inlineStr">
        <is>
          <t>Total per Site (USD)</t>
        </is>
      </c>
      <c r="C14" s="44" t="inlineStr">
        <is>
          <t>Currency ($ USD)</t>
        </is>
      </c>
      <c r="D14" s="45" t="inlineStr">
        <is>
          <t>Formula (=Qty*Rate)</t>
        </is>
      </c>
      <c r="E14" s="46" t="inlineStr">
        <is>
          <t>Turnkey total access Capex per individual BTS site.</t>
        </is>
      </c>
    </row>
    <row r="15">
      <c r="A15" s="39" t="inlineStr">
        <is>
          <t>Lot 1 - RAN &amp; Rollout</t>
        </is>
      </c>
      <c r="B15" s="39" t="inlineStr">
        <is>
          <t>Phase 1 Total (1,000 Sites)</t>
        </is>
      </c>
      <c r="C15" s="40" t="inlineStr">
        <is>
          <t>Currency ($ USD)</t>
        </is>
      </c>
      <c r="D15" s="41" t="inlineStr">
        <is>
          <t>Formula (=Site*1,000)</t>
        </is>
      </c>
      <c r="E15" s="42" t="inlineStr">
        <is>
          <t>Aggregate Year-1 Capex commitment for Phase 1 priority rollout (1,000 BTS sites).</t>
        </is>
      </c>
    </row>
    <row r="16">
      <c r="A16" s="43" t="inlineStr">
        <is>
          <t>Lot 1 - RAN &amp; Rollout</t>
        </is>
      </c>
      <c r="B16" s="43" t="inlineStr">
        <is>
          <t>Program Total (5,000 Sites)</t>
        </is>
      </c>
      <c r="C16" s="44" t="inlineStr">
        <is>
          <t>Currency ($ USD)</t>
        </is>
      </c>
      <c r="D16" s="45" t="inlineStr">
        <is>
          <t>Formula (=Site*5,000)</t>
        </is>
      </c>
      <c r="E16" s="46" t="inlineStr">
        <is>
          <t>Full 5-year nationwide network Capex commitment across all 5,000 macro sites.</t>
        </is>
      </c>
    </row>
    <row r="17">
      <c r="A17" s="39" t="inlineStr">
        <is>
          <t>Lot 1 - RAN &amp; Rollout</t>
        </is>
      </c>
      <c r="B17" s="39" t="inlineStr">
        <is>
          <t>Remarks / Bidder Model</t>
        </is>
      </c>
      <c r="C17" s="40" t="inlineStr">
        <is>
          <t>Text / Alphanumeric</t>
        </is>
      </c>
      <c r="D17" s="41" t="inlineStr">
        <is>
          <t>Bidder Notes</t>
        </is>
      </c>
      <c r="E17" s="42" t="inlineStr">
        <is>
          <t>Bidder equipment model numbers, hardware datasheets, and compliance cross-references.</t>
        </is>
      </c>
    </row>
    <row r="18">
      <c r="A18" s="43" t="inlineStr">
        <is>
          <t>Lot 2 - Power &amp; Passive</t>
        </is>
      </c>
      <c r="B18" s="43" t="inlineStr">
        <is>
          <t>Item Code</t>
        </is>
      </c>
      <c r="C18" s="44" t="inlineStr">
        <is>
          <t>Alphanumeric Code</t>
        </is>
      </c>
      <c r="D18" s="45" t="inlineStr">
        <is>
          <t>Mandatory Code</t>
        </is>
      </c>
      <c r="E18" s="46" t="inlineStr">
        <is>
          <t>Reference identifier for power systems, batteries, standby generators, and civil monopoles (PWR-01, CIV-01).</t>
        </is>
      </c>
    </row>
    <row r="19">
      <c r="A19" s="39" t="inlineStr">
        <is>
          <t>Lot 2 - Power &amp; Passive</t>
        </is>
      </c>
      <c r="B19" s="39" t="inlineStr">
        <is>
          <t>Equipment Description</t>
        </is>
      </c>
      <c r="C19" s="40" t="inlineStr">
        <is>
          <t>Text Description</t>
        </is>
      </c>
      <c r="D19" s="41" t="inlineStr">
        <is>
          <t>Specification</t>
        </is>
      </c>
      <c r="E19" s="42" t="inlineStr">
        <is>
          <t>Component name (12.0 kW DC Rectifier Plant, LiFePO4 battery bank &gt;=4h @ 3.0 kW autonomy [&gt;=20.0 kWh nom / 400 Ah @ 48V], 15kVA genset, 30m monopole).</t>
        </is>
      </c>
    </row>
    <row r="20">
      <c r="A20" s="43" t="inlineStr">
        <is>
          <t>Lot 2 - Power &amp; Passive</t>
        </is>
      </c>
      <c r="B20" s="43" t="inlineStr">
        <is>
          <t>Technical Specification</t>
        </is>
      </c>
      <c r="C20" s="44" t="inlineStr">
        <is>
          <t>Text Description</t>
        </is>
      </c>
      <c r="D20" s="45" t="inlineStr">
        <is>
          <t>Compliance Basis</t>
        </is>
      </c>
      <c r="E20" s="46" t="inlineStr">
        <is>
          <t>Performance benchmarks: 96% rectifier efficiency (4x 3.0 kW, 12.0 kW installed / 9.0 kW firm N+1 capacity), &gt;= 20.0 kWh nominal LiFePO4 battery storage delivering 4.0h autonomy at 3.0 kW load (&lt;=80% DoD, 80% EOL SoH, loss-based calculation), 15 kVA genset with 72h fuel tank, Class 1.0 revenue submeter.</t>
        </is>
      </c>
    </row>
    <row r="21">
      <c r="A21" s="39" t="inlineStr">
        <is>
          <t>Lot 2 - Power &amp; Passive</t>
        </is>
      </c>
      <c r="B21" s="39" t="inlineStr">
        <is>
          <t>Application</t>
        </is>
      </c>
      <c r="C21" s="40" t="inlineStr">
        <is>
          <t>Category</t>
        </is>
      </c>
      <c r="D21" s="41" t="inlineStr">
        <is>
          <t>Siting Condition</t>
        </is>
      </c>
      <c r="E21" s="42" t="inlineStr">
        <is>
          <t>Applicable site typology: Co-location (Classes T1-T3) vs Greenfield (Class T4).</t>
        </is>
      </c>
    </row>
    <row r="22">
      <c r="A22" s="43" t="inlineStr">
        <is>
          <t>Lot 2 - Power &amp; Passive</t>
        </is>
      </c>
      <c r="B22" s="43" t="inlineStr">
        <is>
          <t>UoM</t>
        </is>
      </c>
      <c r="C22" s="44" t="inlineStr">
        <is>
          <t>Unit of Measure</t>
        </is>
      </c>
      <c r="D22" s="45" t="inlineStr">
        <is>
          <t>Standard UoM</t>
        </is>
      </c>
      <c r="E22" s="46" t="inlineStr">
        <is>
          <t>Billing unit: set, site, or lot.</t>
        </is>
      </c>
    </row>
    <row r="23">
      <c r="A23" s="39" t="inlineStr">
        <is>
          <t>Lot 2 - Power &amp; Passive</t>
        </is>
      </c>
      <c r="B23" s="39" t="inlineStr">
        <is>
          <t>Phase 1 Qty</t>
        </is>
      </c>
      <c r="C23" s="40" t="inlineStr">
        <is>
          <t>Integer</t>
        </is>
      </c>
      <c r="D23" s="41" t="inlineStr">
        <is>
          <t>Volume Quantity</t>
        </is>
      </c>
      <c r="E23" s="42" t="inlineStr">
        <is>
          <t>Phase 1 target deployment quantity (1,000 rectifiers/batteries, 897 tap boxes, 103 gensets/monopoles).</t>
        </is>
      </c>
    </row>
    <row r="24">
      <c r="A24" s="43" t="inlineStr">
        <is>
          <t>Lot 2 - Power &amp; Passive</t>
        </is>
      </c>
      <c r="B24" s="43" t="inlineStr">
        <is>
          <t>Unit Rate (USD)</t>
        </is>
      </c>
      <c r="C24" s="44" t="inlineStr">
        <is>
          <t>Currency ($ USD)</t>
        </is>
      </c>
      <c r="D24" s="47" t="inlineStr">
        <is>
          <t>BIDDER TO QUOTE</t>
        </is>
      </c>
      <c r="E24" s="46" t="inlineStr">
        <is>
          <t>Firm unit rate quoted by Bidder in US Dollars (Yellow input cells).</t>
        </is>
      </c>
    </row>
    <row r="25">
      <c r="A25" s="39" t="inlineStr">
        <is>
          <t>Lot 2 - Power &amp; Passive</t>
        </is>
      </c>
      <c r="B25" s="39" t="inlineStr">
        <is>
          <t>Unit Rate (PHP @ 55)</t>
        </is>
      </c>
      <c r="C25" s="40" t="inlineStr">
        <is>
          <t>Currency (PHP ₱)</t>
        </is>
      </c>
      <c r="D25" s="41" t="inlineStr">
        <is>
          <t>Formula (=USD*55)</t>
        </is>
      </c>
      <c r="E25" s="42" t="inlineStr">
        <is>
          <t>Equivalent local currency amount converted at baseline foreign exchange rate of 55.00 PHP/USD.</t>
        </is>
      </c>
    </row>
    <row r="26">
      <c r="A26" s="43" t="inlineStr">
        <is>
          <t>Lot 2 - Power &amp; Passive</t>
        </is>
      </c>
      <c r="B26" s="43" t="inlineStr">
        <is>
          <t>Phase 1 Total (USD)</t>
        </is>
      </c>
      <c r="C26" s="44" t="inlineStr">
        <is>
          <t>Currency ($ USD)</t>
        </is>
      </c>
      <c r="D26" s="45" t="inlineStr">
        <is>
          <t>Formula (=Qty*Rate)</t>
        </is>
      </c>
      <c r="E26" s="46" t="inlineStr">
        <is>
          <t>Total Phase 1 capital expenditure for Lot 2 power and passive infrastructure.</t>
        </is>
      </c>
    </row>
    <row r="27">
      <c r="A27" s="39" t="inlineStr">
        <is>
          <t>Lot 2 - Power &amp; Passive</t>
        </is>
      </c>
      <c r="B27" s="39" t="inlineStr">
        <is>
          <t>Remarks / Bidder Model</t>
        </is>
      </c>
      <c r="C27" s="40" t="inlineStr">
        <is>
          <t>Text</t>
        </is>
      </c>
      <c r="D27" s="41" t="inlineStr">
        <is>
          <t>Bidder Notes</t>
        </is>
      </c>
      <c r="E27" s="42" t="inlineStr">
        <is>
          <t>Manufacturer make, model, physical dimensions, and battery cycle life curves.</t>
        </is>
      </c>
    </row>
    <row r="28">
      <c r="A28" s="43" t="inlineStr">
        <is>
          <t>Lot 3 - 5G Core</t>
        </is>
      </c>
      <c r="B28" s="43" t="inlineStr">
        <is>
          <t>Item Code</t>
        </is>
      </c>
      <c r="C28" s="44" t="inlineStr">
        <is>
          <t>Alphanumeric Code</t>
        </is>
      </c>
      <c r="D28" s="45" t="inlineStr">
        <is>
          <t>Mandatory Code</t>
        </is>
      </c>
      <c r="E28" s="46" t="inlineStr">
        <is>
          <t>Core hardware and software component code (5GC-HW-01 servers, 5GC-SW-01 1M sub license).</t>
        </is>
      </c>
    </row>
    <row r="29">
      <c r="A29" s="39" t="inlineStr">
        <is>
          <t>Lot 3 - 5G Core</t>
        </is>
      </c>
      <c r="B29" s="39" t="inlineStr">
        <is>
          <t>Core Subsystem</t>
        </is>
      </c>
      <c r="C29" s="40" t="inlineStr">
        <is>
          <t>Text Description</t>
        </is>
      </c>
      <c r="D29" s="41" t="inlineStr">
        <is>
          <t>Subsystem Name</t>
        </is>
      </c>
      <c r="E29" s="42" t="inlineStr">
        <is>
          <t>Functional domain: Compute servers, UPF line-rate nodes, DC leaf-spine fabric, or 5GC SBA software.</t>
        </is>
      </c>
    </row>
    <row r="30">
      <c r="A30" s="43" t="inlineStr">
        <is>
          <t>Lot 3 - 5G Core</t>
        </is>
      </c>
      <c r="B30" s="43" t="inlineStr">
        <is>
          <t>Functional Description &amp; Sizing</t>
        </is>
      </c>
      <c r="C30" s="44" t="inlineStr">
        <is>
          <t>Text Description</t>
        </is>
      </c>
      <c r="D30" s="45" t="inlineStr">
        <is>
          <t>Dimensioning</t>
        </is>
      </c>
      <c r="E30" s="46" t="inlineStr">
        <is>
          <t>Capacity requirements: 80 Gbps usable throughput/node, inline CG-NAT, 1,000,000 registered subscribers.</t>
        </is>
      </c>
    </row>
    <row r="31">
      <c r="A31" s="39" t="inlineStr">
        <is>
          <t>Lot 3 - 5G Core</t>
        </is>
      </c>
      <c r="B31" s="39" t="inlineStr">
        <is>
          <t>Licensing / Delivery</t>
        </is>
      </c>
      <c r="C31" s="40" t="inlineStr">
        <is>
          <t>Commercial Type</t>
        </is>
      </c>
      <c r="D31" s="41" t="inlineStr">
        <is>
          <t>License Model</t>
        </is>
      </c>
      <c r="E31" s="42" t="inlineStr">
        <is>
          <t>Commercial model: Hardware Purchase, Perpetual Software License, or Professional Services.</t>
        </is>
      </c>
    </row>
    <row r="32">
      <c r="A32" s="43" t="inlineStr">
        <is>
          <t>Lot 3 - 5G Core</t>
        </is>
      </c>
      <c r="B32" s="43" t="inlineStr">
        <is>
          <t>UoM</t>
        </is>
      </c>
      <c r="C32" s="44" t="inlineStr">
        <is>
          <t>Unit of Measure</t>
        </is>
      </c>
      <c r="D32" s="45" t="inlineStr">
        <is>
          <t>Standard UoM</t>
        </is>
      </c>
      <c r="E32" s="46" t="inlineStr">
        <is>
          <t>Billing unit: lot, system, or perpetual license.</t>
        </is>
      </c>
    </row>
    <row r="33">
      <c r="A33" s="39" t="inlineStr">
        <is>
          <t>Lot 3 - 5G Core</t>
        </is>
      </c>
      <c r="B33" s="39" t="inlineStr">
        <is>
          <t>Year 1 Price (USD)</t>
        </is>
      </c>
      <c r="C33" s="40" t="inlineStr">
        <is>
          <t>Currency ($ USD)</t>
        </is>
      </c>
      <c r="D33" s="47" t="inlineStr">
        <is>
          <t>BIDDER TO QUOTE</t>
        </is>
      </c>
      <c r="E33" s="42" t="inlineStr">
        <is>
          <t>Total Year-1 turnkey price quoted by Bidder for dual-datacenter active-active deployment.</t>
        </is>
      </c>
    </row>
    <row r="34">
      <c r="A34" s="43" t="inlineStr">
        <is>
          <t>Lot 3 - 5G Core</t>
        </is>
      </c>
      <c r="B34" s="43" t="inlineStr">
        <is>
          <t>Annual AMC %</t>
        </is>
      </c>
      <c r="C34" s="44" t="inlineStr">
        <is>
          <t>Percentage (%)</t>
        </is>
      </c>
      <c r="D34" s="47" t="inlineStr">
        <is>
          <t>BIDDER TO QUOTE</t>
        </is>
      </c>
      <c r="E34" s="46" t="inlineStr">
        <is>
          <t>Annual Maintenance Contract support percentage quoted by Bidder for software &amp; hardware.</t>
        </is>
      </c>
    </row>
    <row r="35">
      <c r="A35" s="39" t="inlineStr">
        <is>
          <t>Lot 3 - 5G Core</t>
        </is>
      </c>
      <c r="B35" s="39" t="inlineStr">
        <is>
          <t>Remarks / Bidder Model</t>
        </is>
      </c>
      <c r="C35" s="40" t="inlineStr">
        <is>
          <t>Text</t>
        </is>
      </c>
      <c r="D35" s="41" t="inlineStr">
        <is>
          <t>Bidder Notes</t>
        </is>
      </c>
      <c r="E35" s="42" t="inlineStr">
        <is>
          <t>Server hardware specifications, VNF/CNF container architecture, and throughput benchmarks.</t>
        </is>
      </c>
    </row>
    <row r="36">
      <c r="A36" s="43" t="inlineStr">
        <is>
          <t>Lot 4 - OSS-BSS</t>
        </is>
      </c>
      <c r="B36" s="43" t="inlineStr">
        <is>
          <t>Item Code</t>
        </is>
      </c>
      <c r="C36" s="44" t="inlineStr">
        <is>
          <t>Alphanumeric Code</t>
        </is>
      </c>
      <c r="D36" s="45" t="inlineStr">
        <is>
          <t>Mandatory Code</t>
        </is>
      </c>
      <c r="E36" s="46" t="inlineStr">
        <is>
          <t>OSS/BSS module code (BSS-01 CRM, BSS-02 CHF Charging, OSS-01 Field Force FMS, OSS-03 WMS).</t>
        </is>
      </c>
    </row>
    <row r="37">
      <c r="A37" s="39" t="inlineStr">
        <is>
          <t>Lot 4 - OSS-BSS</t>
        </is>
      </c>
      <c r="B37" s="39" t="inlineStr">
        <is>
          <t>OSS/BSS Functional Module</t>
        </is>
      </c>
      <c r="C37" s="40" t="inlineStr">
        <is>
          <t>Text Description</t>
        </is>
      </c>
      <c r="D37" s="41" t="inlineStr">
        <is>
          <t>Module Name</t>
        </is>
      </c>
      <c r="E37" s="42" t="inlineStr">
        <is>
          <t>Subsystem functional title: CRM, Rating Engine, Payment Gateway, FMS, or Fault Management.</t>
        </is>
      </c>
    </row>
    <row r="38">
      <c r="A38" s="43" t="inlineStr">
        <is>
          <t>Lot 4 - OSS-BSS</t>
        </is>
      </c>
      <c r="B38" s="43" t="inlineStr">
        <is>
          <t>Functional Scope &amp; Volume Driver</t>
        </is>
      </c>
      <c r="C38" s="44" t="inlineStr">
        <is>
          <t>Text Description</t>
        </is>
      </c>
      <c r="D38" s="45" t="inlineStr">
        <is>
          <t>Volume Sizing</t>
        </is>
      </c>
      <c r="E38" s="46" t="inlineStr">
        <is>
          <t>Scale driver: 4 retail tariffs + SME, real-time Nchf charging, 3,500 daily work orders, 70% CPE reverse logistics.</t>
        </is>
      </c>
    </row>
    <row r="39">
      <c r="A39" s="39" t="inlineStr">
        <is>
          <t>Lot 4 - OSS-BSS</t>
        </is>
      </c>
      <c r="B39" s="39" t="inlineStr">
        <is>
          <t>License Type</t>
        </is>
      </c>
      <c r="C39" s="40" t="inlineStr">
        <is>
          <t>Commercial Type</t>
        </is>
      </c>
      <c r="D39" s="41" t="inlineStr">
        <is>
          <t>License Model</t>
        </is>
      </c>
      <c r="E39" s="42" t="inlineStr">
        <is>
          <t>Licensing model: Perpetual Enterprise, Integration Module, or Professional Services.</t>
        </is>
      </c>
    </row>
    <row r="40">
      <c r="A40" s="43" t="inlineStr">
        <is>
          <t>Lot 4 - OSS-BSS</t>
        </is>
      </c>
      <c r="B40" s="43" t="inlineStr">
        <is>
          <t>UoM</t>
        </is>
      </c>
      <c r="C40" s="44" t="inlineStr">
        <is>
          <t>Unit of Measure</t>
        </is>
      </c>
      <c r="D40" s="45" t="inlineStr">
        <is>
          <t>Standard UoM</t>
        </is>
      </c>
      <c r="E40" s="46" t="inlineStr">
        <is>
          <t>Billing unit: lot, platform, or enterprise license.</t>
        </is>
      </c>
    </row>
    <row r="41">
      <c r="A41" s="39" t="inlineStr">
        <is>
          <t>Lot 4 - OSS-BSS</t>
        </is>
      </c>
      <c r="B41" s="39" t="inlineStr">
        <is>
          <t>Year 1 Price (USD)</t>
        </is>
      </c>
      <c r="C41" s="40" t="inlineStr">
        <is>
          <t>Currency ($ USD)</t>
        </is>
      </c>
      <c r="D41" s="47" t="inlineStr">
        <is>
          <t>BIDDER TO QUOTE</t>
        </is>
      </c>
      <c r="E41" s="42" t="inlineStr">
        <is>
          <t>Turnkey Year-1 Capex quoted by Bidder for 1,000,000 registered subscribers.</t>
        </is>
      </c>
    </row>
    <row r="42">
      <c r="A42" s="43" t="inlineStr">
        <is>
          <t>Lot 4 - OSS-BSS</t>
        </is>
      </c>
      <c r="B42" s="43" t="inlineStr">
        <is>
          <t>Annual AMC %</t>
        </is>
      </c>
      <c r="C42" s="44" t="inlineStr">
        <is>
          <t>Percentage (%)</t>
        </is>
      </c>
      <c r="D42" s="47" t="inlineStr">
        <is>
          <t>BIDDER TO QUOTE</t>
        </is>
      </c>
      <c r="E42" s="46" t="inlineStr">
        <is>
          <t>Annual software support fee percentage quoted by Bidder.</t>
        </is>
      </c>
    </row>
    <row r="43">
      <c r="A43" s="39" t="inlineStr">
        <is>
          <t>Lot 4 - OSS-BSS</t>
        </is>
      </c>
      <c r="B43" s="39" t="inlineStr">
        <is>
          <t>Remarks / Bidder Model</t>
        </is>
      </c>
      <c r="C43" s="40" t="inlineStr">
        <is>
          <t>Text</t>
        </is>
      </c>
      <c r="D43" s="41" t="inlineStr">
        <is>
          <t>Bidder Notes</t>
        </is>
      </c>
      <c r="E43" s="42" t="inlineStr">
        <is>
          <t>Architecture framework, TM Forum Open API compliance, and cloud deployment requirements.</t>
        </is>
      </c>
    </row>
    <row r="44">
      <c r="A44" s="43" t="inlineStr">
        <is>
          <t>Lot 5 - Site Acq &amp; Civils</t>
        </is>
      </c>
      <c r="B44" s="43" t="inlineStr">
        <is>
          <t>Item Code</t>
        </is>
      </c>
      <c r="C44" s="44" t="inlineStr">
        <is>
          <t>Alphanumeric Code</t>
        </is>
      </c>
      <c r="D44" s="45" t="inlineStr">
        <is>
          <t>Mandatory Code</t>
        </is>
      </c>
      <c r="E44" s="46" t="inlineStr">
        <is>
          <t>Reference code for site acquisition, permitting, pad foundation, compound fencing, grounding grid, monopole, and RF optimization (CIV-SVC-01 to CIV-SVC-09).</t>
        </is>
      </c>
    </row>
    <row r="45">
      <c r="A45" s="39" t="inlineStr">
        <is>
          <t>Lot 5 - Site Acq &amp; Civils</t>
        </is>
      </c>
      <c r="B45" s="39" t="inlineStr">
        <is>
          <t>Service / Works Description</t>
        </is>
      </c>
      <c r="C45" s="40" t="inlineStr">
        <is>
          <t>Text Description</t>
        </is>
      </c>
      <c r="D45" s="41" t="inlineStr">
        <is>
          <t>Specification</t>
        </is>
      </c>
      <c r="E45" s="42" t="inlineStr">
        <is>
          <t>Scope title for site engineering, permitting, civil construction, and RF design optimization works.</t>
        </is>
      </c>
    </row>
    <row r="46">
      <c r="A46" s="43" t="inlineStr">
        <is>
          <t>Lot 5 - Site Acq &amp; Civils</t>
        </is>
      </c>
      <c r="B46" s="43" t="inlineStr">
        <is>
          <t>Detailed Scope &amp; Technical Specification</t>
        </is>
      </c>
      <c r="C46" s="44" t="inlineStr">
        <is>
          <t>Text Description</t>
        </is>
      </c>
      <c r="D46" s="45" t="inlineStr">
        <is>
          <t>Scope Definition</t>
        </is>
      </c>
      <c r="E46" s="46" t="inlineStr">
        <is>
          <t>Mandatory engineering parameters: TSSR structural audit, 8x8m compound, pad foundations, 250 km/h wind rating, &lt;=5 Ohm ground ring, 3D ray-tracing design.</t>
        </is>
      </c>
    </row>
    <row r="47">
      <c r="A47" s="39" t="inlineStr">
        <is>
          <t>Lot 5 - Site Acq &amp; Civils</t>
        </is>
      </c>
      <c r="B47" s="39" t="inlineStr">
        <is>
          <t>Application</t>
        </is>
      </c>
      <c r="C47" s="40" t="inlineStr">
        <is>
          <t>Category</t>
        </is>
      </c>
      <c r="D47" s="41" t="inlineStr">
        <is>
          <t>Siting Typology</t>
        </is>
      </c>
      <c r="E47" s="42" t="inlineStr">
        <is>
          <t>Siting condition: Leased TowerCo co-locations (897 sites), Greenfield Monopoles (103 Class T4 sites), or All Sites (1,000 footprint).</t>
        </is>
      </c>
    </row>
    <row r="48">
      <c r="A48" s="43" t="inlineStr">
        <is>
          <t>Lot 5 - Site Acq &amp; Civils</t>
        </is>
      </c>
      <c r="B48" s="43" t="inlineStr">
        <is>
          <t>UoM</t>
        </is>
      </c>
      <c r="C48" s="44" t="inlineStr">
        <is>
          <t>Unit of Measure</t>
        </is>
      </c>
      <c r="D48" s="45" t="inlineStr">
        <is>
          <t>Standard UoM</t>
        </is>
      </c>
      <c r="E48" s="46" t="inlineStr">
        <is>
          <t>Commercial billing unit: site, set, or lot.</t>
        </is>
      </c>
    </row>
    <row r="49">
      <c r="A49" s="39" t="inlineStr">
        <is>
          <t>Lot 5 - Site Acq &amp; Civils</t>
        </is>
      </c>
      <c r="B49" s="39" t="inlineStr">
        <is>
          <t>Phase 1 Qty</t>
        </is>
      </c>
      <c r="C49" s="40" t="inlineStr">
        <is>
          <t>Integer</t>
        </is>
      </c>
      <c r="D49" s="41" t="inlineStr">
        <is>
          <t>Volume Quantity</t>
        </is>
      </c>
      <c r="E49" s="42" t="inlineStr">
        <is>
          <t>Total quantity deployed in Phase 1 (e.g. 1,000 TSSRs, 103 greenfield compounds, 897 equipment pads).</t>
        </is>
      </c>
    </row>
    <row r="50">
      <c r="A50" s="43" t="inlineStr">
        <is>
          <t>Lot 5 - Site Acq &amp; Civils</t>
        </is>
      </c>
      <c r="B50" s="43" t="inlineStr">
        <is>
          <t>Unit Rate (USD)</t>
        </is>
      </c>
      <c r="C50" s="44" t="inlineStr">
        <is>
          <t>Currency ($ USD)</t>
        </is>
      </c>
      <c r="D50" s="47" t="inlineStr">
        <is>
          <t>BIDDER TO QUOTE</t>
        </is>
      </c>
      <c r="E50" s="46" t="inlineStr">
        <is>
          <t>Firm turnkey service or civil unit rate quoted by Bidder in US Dollars (Yellow input cells).</t>
        </is>
      </c>
    </row>
    <row r="51">
      <c r="A51" s="39" t="inlineStr">
        <is>
          <t>Lot 5 - Site Acq &amp; Civils</t>
        </is>
      </c>
      <c r="B51" s="39" t="inlineStr">
        <is>
          <t>Unit Rate (PHP @ 55)</t>
        </is>
      </c>
      <c r="C51" s="40" t="inlineStr">
        <is>
          <t>Currency (PHP ₱)</t>
        </is>
      </c>
      <c r="D51" s="41" t="inlineStr">
        <is>
          <t>Formula (=USD*55)</t>
        </is>
      </c>
      <c r="E51" s="42" t="inlineStr">
        <is>
          <t>Equivalent Philippine Peso rate calculated at baseline exchange rate of 55.00 PHP/USD.</t>
        </is>
      </c>
    </row>
    <row r="52">
      <c r="A52" s="43" t="inlineStr">
        <is>
          <t>Lot 5 - Site Acq &amp; Civils</t>
        </is>
      </c>
      <c r="B52" s="43" t="inlineStr">
        <is>
          <t>Phase 1 Total (USD)</t>
        </is>
      </c>
      <c r="C52" s="44" t="inlineStr">
        <is>
          <t>Currency ($ USD)</t>
        </is>
      </c>
      <c r="D52" s="45" t="inlineStr">
        <is>
          <t>Formula (=Qty*Rate)</t>
        </is>
      </c>
      <c r="E52" s="46" t="inlineStr">
        <is>
          <t>Total Phase 1 capital expenditure for site civil and acquisition services.</t>
        </is>
      </c>
    </row>
    <row r="53">
      <c r="A53" s="39" t="inlineStr">
        <is>
          <t>Lot 5 - Site Acq &amp; Civils</t>
        </is>
      </c>
      <c r="B53" s="39" t="inlineStr">
        <is>
          <t>Remarks / Bidder Methodology</t>
        </is>
      </c>
      <c r="C53" s="40" t="inlineStr">
        <is>
          <t>Text Description</t>
        </is>
      </c>
      <c r="D53" s="41" t="inlineStr">
        <is>
          <t>Bidder Notes</t>
        </is>
      </c>
      <c r="E53" s="42" t="inlineStr">
        <is>
          <t>Contractor mobilization strategy, civil construction timeline, and local subcontractor references.</t>
        </is>
      </c>
    </row>
    <row r="54">
      <c r="A54" s="43" t="inlineStr">
        <is>
          <t>Lot 6 - Managed Services</t>
        </is>
      </c>
      <c r="B54" s="43" t="inlineStr">
        <is>
          <t>Item Code</t>
        </is>
      </c>
      <c r="C54" s="44" t="inlineStr">
        <is>
          <t>Alphanumeric Code</t>
        </is>
      </c>
      <c r="D54" s="45" t="inlineStr">
        <is>
          <t>Mandatory Code</t>
        </is>
      </c>
      <c r="E54" s="46" t="inlineStr">
        <is>
          <t>Managed services operational scope code (MS-01 NOC, MS-02 FLM, MS-03 PM, MS-04 SPMS, MS-05 Genset).</t>
        </is>
      </c>
    </row>
    <row r="55">
      <c r="A55" s="39" t="inlineStr">
        <is>
          <t>Lot 6 - Managed Services</t>
        </is>
      </c>
      <c r="B55" s="39" t="inlineStr">
        <is>
          <t>Service Domain</t>
        </is>
      </c>
      <c r="C55" s="40" t="inlineStr">
        <is>
          <t>Text Description</t>
        </is>
      </c>
      <c r="D55" s="41" t="inlineStr">
        <is>
          <t>Scope Area</t>
        </is>
      </c>
      <c r="E55" s="42" t="inlineStr">
        <is>
          <t>Operational responsibility domain: 24/7 NOC surveillance, field maintenance, preventive checks, spares.</t>
        </is>
      </c>
    </row>
    <row r="56">
      <c r="A56" s="43" t="inlineStr">
        <is>
          <t>Lot 6 - Managed Services</t>
        </is>
      </c>
      <c r="B56" s="43" t="inlineStr">
        <is>
          <t>Operational Scope of Work</t>
        </is>
      </c>
      <c r="C56" s="44" t="inlineStr">
        <is>
          <t>Text Description</t>
        </is>
      </c>
      <c r="D56" s="45" t="inlineStr">
        <is>
          <t>Service Scope</t>
        </is>
      </c>
      <c r="E56" s="46" t="inlineStr">
        <is>
          <t>Detailed SLA scope: Continuous alarm monitoring, 2-4 hr MTTR, quarterly site audits, NBD spares delivery.</t>
        </is>
      </c>
    </row>
    <row r="57">
      <c r="A57" s="39" t="inlineStr">
        <is>
          <t>Lot 6 - Managed Services</t>
        </is>
      </c>
      <c r="B57" s="39" t="inlineStr">
        <is>
          <t>SLA Target</t>
        </is>
      </c>
      <c r="C57" s="40" t="inlineStr">
        <is>
          <t>SLA Target</t>
        </is>
      </c>
      <c r="D57" s="41" t="inlineStr">
        <is>
          <t>Binding Metric</t>
        </is>
      </c>
      <c r="E57" s="42" t="inlineStr">
        <is>
          <t>SLA metric: 99.95% Target (99.70% Min Contractual Floor), MTTR &lt;= 2h Urban / &lt;= 4h Rural, 100% PM completion.</t>
        </is>
      </c>
    </row>
    <row r="58">
      <c r="A58" s="43" t="inlineStr">
        <is>
          <t>Lot 6 - Managed Services</t>
        </is>
      </c>
      <c r="B58" s="43" t="inlineStr">
        <is>
          <t>Monthly Rate / Site (PHP)</t>
        </is>
      </c>
      <c r="C58" s="44" t="inlineStr">
        <is>
          <t>Currency (PHP ₱)</t>
        </is>
      </c>
      <c r="D58" s="47" t="inlineStr">
        <is>
          <t>BIDDER TO QUOTE</t>
        </is>
      </c>
      <c r="E58" s="46" t="inlineStr">
        <is>
          <t>Firm monthly operational managed service fee per active BTS site quoted by Bidder in PHP.</t>
        </is>
      </c>
    </row>
    <row r="59">
      <c r="A59" s="39" t="inlineStr">
        <is>
          <t>Lot 6 - Managed Services</t>
        </is>
      </c>
      <c r="B59" s="39" t="inlineStr">
        <is>
          <t>Monthly Rate (USD @ 55)</t>
        </is>
      </c>
      <c r="C59" s="40" t="inlineStr">
        <is>
          <t>Currency ($ USD)</t>
        </is>
      </c>
      <c r="D59" s="41" t="inlineStr">
        <is>
          <t>Formula (=PHP/55)</t>
        </is>
      </c>
      <c r="E59" s="42" t="inlineStr">
        <is>
          <t>Monthly rate per site converted to USD at 55.00 baseline FX.</t>
        </is>
      </c>
    </row>
    <row r="60">
      <c r="A60" s="43" t="inlineStr">
        <is>
          <t>Lot 6 - Managed Services</t>
        </is>
      </c>
      <c r="B60" s="43" t="inlineStr">
        <is>
          <t>Annual Cost / Site (USD)</t>
        </is>
      </c>
      <c r="C60" s="44" t="inlineStr">
        <is>
          <t>Currency ($ USD)</t>
        </is>
      </c>
      <c r="D60" s="45" t="inlineStr">
        <is>
          <t>Formula (=USD*12)</t>
        </is>
      </c>
      <c r="E60" s="46" t="inlineStr">
        <is>
          <t>Annualized active telecom O&amp;M cost per site.</t>
        </is>
      </c>
    </row>
    <row r="61">
      <c r="A61" s="39" t="inlineStr">
        <is>
          <t>Lot 6 - Managed Services</t>
        </is>
      </c>
      <c r="B61" s="39" t="inlineStr">
        <is>
          <t>Remarks</t>
        </is>
      </c>
      <c r="C61" s="40" t="inlineStr">
        <is>
          <t>Text</t>
        </is>
      </c>
      <c r="D61" s="41" t="inlineStr">
        <is>
          <t>Bidder Notes</t>
        </is>
      </c>
      <c r="E61" s="42" t="inlineStr">
        <is>
          <t>Staffing dimensioning, field depot locations, and escalation management details.</t>
        </is>
      </c>
    </row>
    <row r="62">
      <c r="A62" s="43" t="inlineStr">
        <is>
          <t>Lot 7 - 5G CPE</t>
        </is>
      </c>
      <c r="B62" s="43" t="inlineStr">
        <is>
          <t>Item Code</t>
        </is>
      </c>
      <c r="C62" s="44" t="inlineStr">
        <is>
          <t>Alphanumeric Code</t>
        </is>
      </c>
      <c r="D62" s="45" t="inlineStr">
        <is>
          <t>Mandatory Code</t>
        </is>
      </c>
      <c r="E62" s="46" t="inlineStr">
        <is>
          <t>CPE terminal model reference code (CPE-01 Indoor Wi-Fi 6, CPE-02 Outdoor high gain, CPE-SVC Staging).</t>
        </is>
      </c>
    </row>
    <row r="63">
      <c r="A63" s="39" t="inlineStr">
        <is>
          <t>Lot 7 - 5G CPE</t>
        </is>
      </c>
      <c r="B63" s="39" t="inlineStr">
        <is>
          <t>CPE Terminal Model</t>
        </is>
      </c>
      <c r="C63" s="40" t="inlineStr">
        <is>
          <t>Text Description</t>
        </is>
      </c>
      <c r="D63" s="41" t="inlineStr">
        <is>
          <t>Device Model</t>
        </is>
      </c>
      <c r="E63" s="42" t="inlineStr">
        <is>
          <t>Commercial terminal description (Indoor 5G High-Gain Router, Outdoor IP67 Package with PoE and bundled Wi-Fi 6 router).</t>
        </is>
      </c>
    </row>
    <row r="64">
      <c r="A64" s="43" t="inlineStr">
        <is>
          <t>Lot 7 - 5G CPE</t>
        </is>
      </c>
      <c r="B64" s="43" t="inlineStr">
        <is>
          <t>Technical Specifications</t>
        </is>
      </c>
      <c r="C64" s="44" t="inlineStr">
        <is>
          <t>Text Description</t>
        </is>
      </c>
      <c r="D64" s="45" t="inlineStr">
        <is>
          <t>Device Spec</t>
        </is>
      </c>
      <c r="E64" s="46" t="inlineStr">
        <is>
          <t>3GPP R16 5G NR Band n50 native, 8-10 dBi internal antenna (&gt;=12 dBi outdoor), Wi-Fi 6 AX1800, 2.5GE port, TR-069 / TR-369.</t>
        </is>
      </c>
    </row>
    <row r="65">
      <c r="A65" s="39" t="inlineStr">
        <is>
          <t>Lot 7 - 5G CPE</t>
        </is>
      </c>
      <c r="B65" s="39" t="inlineStr">
        <is>
          <t>Target Order Qty (P1)</t>
        </is>
      </c>
      <c r="C65" s="40" t="inlineStr">
        <is>
          <t>Integer</t>
        </is>
      </c>
      <c r="D65" s="41" t="inlineStr">
        <is>
          <t>Volume Quantity</t>
        </is>
      </c>
      <c r="E65" s="42" t="inlineStr">
        <is>
          <t>Phase 1 baseline volume order: 350,000 indoor + 15,000 outdoor units (365,000 total terminals).</t>
        </is>
      </c>
    </row>
    <row r="66">
      <c r="A66" s="43" t="inlineStr">
        <is>
          <t>Lot 7 - 5G CPE</t>
        </is>
      </c>
      <c r="B66" s="43" t="inlineStr">
        <is>
          <t>UoM</t>
        </is>
      </c>
      <c r="C66" s="44" t="inlineStr">
        <is>
          <t>Unit of Measure</t>
        </is>
      </c>
      <c r="D66" s="45" t="inlineStr">
        <is>
          <t>Standard UoM</t>
        </is>
      </c>
      <c r="E66" s="46" t="inlineStr">
        <is>
          <t>Billing unit: units or devices.</t>
        </is>
      </c>
    </row>
    <row r="67">
      <c r="A67" s="39" t="inlineStr">
        <is>
          <t>Lot 7 - 5G CPE</t>
        </is>
      </c>
      <c r="B67" s="39" t="inlineStr">
        <is>
          <t>Unit Rate (USD)</t>
        </is>
      </c>
      <c r="C67" s="40" t="inlineStr">
        <is>
          <t>Currency ($ USD)</t>
        </is>
      </c>
      <c r="D67" s="47" t="inlineStr">
        <is>
          <t>BIDDER TO QUOTE</t>
        </is>
      </c>
      <c r="E67" s="42" t="inlineStr">
        <is>
          <t>Firm unit purchase price quoted by Bidder in volume packaging in USD (Yellow input cells).</t>
        </is>
      </c>
    </row>
    <row r="68">
      <c r="A68" s="43" t="inlineStr">
        <is>
          <t>Lot 7 - 5G CPE</t>
        </is>
      </c>
      <c r="B68" s="43" t="inlineStr">
        <is>
          <t>Total Phase 1 Cost (USD)</t>
        </is>
      </c>
      <c r="C68" s="44" t="inlineStr">
        <is>
          <t>Currency ($ USD)</t>
        </is>
      </c>
      <c r="D68" s="45" t="inlineStr">
        <is>
          <t>Formula (=Qty*Rate)</t>
        </is>
      </c>
      <c r="E68" s="46" t="inlineStr">
        <is>
          <t>Total initial CPE capital expenditure calculated from Bidder quoted unit rate.</t>
        </is>
      </c>
    </row>
    <row r="69">
      <c r="A69" s="39" t="inlineStr">
        <is>
          <t>Lot 7 - 5G CPE</t>
        </is>
      </c>
      <c r="B69" s="39" t="inlineStr">
        <is>
          <t>Remarks / Bidder Model</t>
        </is>
      </c>
      <c r="C69" s="40" t="inlineStr">
        <is>
          <t>Text</t>
        </is>
      </c>
      <c r="D69" s="41" t="inlineStr">
        <is>
          <t>Bidder Notes</t>
        </is>
      </c>
      <c r="E69" s="42" t="inlineStr">
        <is>
          <t>Offered manufacturer make, product model number, chipset platform, and lead times.</t>
        </is>
      </c>
    </row>
    <row r="70">
      <c r="A70" s="43" t="inlineStr">
        <is>
          <t>Form C - 10-Year TCO Schedule</t>
        </is>
      </c>
      <c r="B70" s="43" t="inlineStr">
        <is>
          <t>Cost Category / Lifecycle Element</t>
        </is>
      </c>
      <c r="C70" s="44" t="inlineStr">
        <is>
          <t>Text Description</t>
        </is>
      </c>
      <c r="D70" s="45" t="inlineStr">
        <is>
          <t>Category Identifier</t>
        </is>
      </c>
      <c r="E70" s="46" t="inlineStr">
        <is>
          <t>High-level Capex and Opex lifecycle cost domain covering RAN, Core, OSS/BSS, CPE, Tower Leases, Fiber Transmission, Spares, and Managed Services.</t>
        </is>
      </c>
    </row>
    <row r="71">
      <c r="A71" s="39" t="inlineStr">
        <is>
          <t>Form C - 10-Year TCO Schedule</t>
        </is>
      </c>
      <c r="B71" s="39" t="inlineStr">
        <is>
          <t>Phase 1 Capex (Yr 1)</t>
        </is>
      </c>
      <c r="C71" s="40" t="inlineStr">
        <is>
          <t>Currency ($ USD)</t>
        </is>
      </c>
      <c r="D71" s="41" t="inlineStr">
        <is>
          <t>Formula / Bidder Input</t>
        </is>
      </c>
      <c r="E71" s="42" t="inlineStr">
        <is>
          <t>Initial Phase 1 capital investment committed for Day-1 network footprint (1,000 macro BTS sites turnkey rollout across Lots 1, 2, and 5).</t>
        </is>
      </c>
    </row>
    <row r="72">
      <c r="A72" s="43" t="inlineStr">
        <is>
          <t>Form C - 10-Year TCO Schedule</t>
        </is>
      </c>
      <c r="B72" s="43" t="inlineStr">
        <is>
          <t>Yr 2</t>
        </is>
      </c>
      <c r="C72" s="44" t="inlineStr">
        <is>
          <t>Currency ($ USD)</t>
        </is>
      </c>
      <c r="D72" s="45" t="inlineStr">
        <is>
          <t>Formula / Bidder Input</t>
        </is>
      </c>
      <c r="E72" s="46" t="inlineStr">
        <is>
          <t>Year 2 network expansion capex, subscriber terminal additions, and operational lifecycle expenditure.</t>
        </is>
      </c>
    </row>
    <row r="73">
      <c r="A73" s="39" t="inlineStr">
        <is>
          <t>Form C - 10-Year TCO Schedule</t>
        </is>
      </c>
      <c r="B73" s="39" t="inlineStr">
        <is>
          <t>Yr 3</t>
        </is>
      </c>
      <c r="C73" s="40" t="inlineStr">
        <is>
          <t>Currency ($ USD)</t>
        </is>
      </c>
      <c r="D73" s="41" t="inlineStr">
        <is>
          <t>Formula / Bidder Input</t>
        </is>
      </c>
      <c r="E73" s="42" t="inlineStr">
        <is>
          <t>Year 3 network expansion capex, subscriber terminal additions, and operational lifecycle expenditure.</t>
        </is>
      </c>
    </row>
    <row r="74">
      <c r="A74" s="43" t="inlineStr">
        <is>
          <t>Form C - 10-Year TCO Schedule</t>
        </is>
      </c>
      <c r="B74" s="43" t="inlineStr">
        <is>
          <t>Yr 4</t>
        </is>
      </c>
      <c r="C74" s="44" t="inlineStr">
        <is>
          <t>Currency ($ USD)</t>
        </is>
      </c>
      <c r="D74" s="45" t="inlineStr">
        <is>
          <t>Formula / Bidder Input</t>
        </is>
      </c>
      <c r="E74" s="46" t="inlineStr">
        <is>
          <t>Year 4 network expansion capex, subscriber terminal additions, and operational lifecycle expenditure.</t>
        </is>
      </c>
    </row>
    <row r="75">
      <c r="A75" s="39" t="inlineStr">
        <is>
          <t>Form C - 10-Year TCO Schedule</t>
        </is>
      </c>
      <c r="B75" s="39" t="inlineStr">
        <is>
          <t>Yr 5</t>
        </is>
      </c>
      <c r="C75" s="40" t="inlineStr">
        <is>
          <t>Currency ($ USD)</t>
        </is>
      </c>
      <c r="D75" s="41" t="inlineStr">
        <is>
          <t>Formula / Bidder Input</t>
        </is>
      </c>
      <c r="E75" s="42" t="inlineStr">
        <is>
          <t>Year 5 network expansion capex reaching nationwide 5,000 sites and commercial terminal additions.</t>
        </is>
      </c>
    </row>
    <row r="76">
      <c r="A76" s="43" t="inlineStr">
        <is>
          <t>Form C - 10-Year TCO Schedule</t>
        </is>
      </c>
      <c r="B76" s="43" t="inlineStr">
        <is>
          <t>Yrs 6-10 Cumulative</t>
        </is>
      </c>
      <c r="C76" s="44" t="inlineStr">
        <is>
          <t>Currency ($ USD)</t>
        </is>
      </c>
      <c r="D76" s="45" t="inlineStr">
        <is>
          <t>Formula / Bidder Input</t>
        </is>
      </c>
      <c r="E76" s="46" t="inlineStr">
        <is>
          <t>Total cumulative lifecycle OPEX, hardware refresh, and software maintenance support across Years 6 through 10.</t>
        </is>
      </c>
    </row>
    <row r="77">
      <c r="A77" s="39" t="inlineStr">
        <is>
          <t>Form C - 10-Year TCO Schedule</t>
        </is>
      </c>
      <c r="B77" s="39" t="inlineStr">
        <is>
          <t>10-Year Total TCO (USD)</t>
        </is>
      </c>
      <c r="C77" s="40" t="inlineStr">
        <is>
          <t>Currency ($ USD)</t>
        </is>
      </c>
      <c r="D77" s="41" t="inlineStr">
        <is>
          <t>Formula (=SUM(Y1:Y10))</t>
        </is>
      </c>
      <c r="E77" s="42" t="inlineStr">
        <is>
          <t>Complete 10-year Total Cost of Ownership evaluating turnkey lifecycle economics for QCBS financial scoring.</t>
        </is>
      </c>
    </row>
    <row r="78">
      <c r="A78" s="43" t="inlineStr">
        <is>
          <t>Form C - 10-Year TCO Schedule</t>
        </is>
      </c>
      <c r="B78" s="43" t="inlineStr">
        <is>
          <t>Notes &amp; Pricing Assumptions</t>
        </is>
      </c>
      <c r="C78" s="44" t="inlineStr">
        <is>
          <t>Text Description</t>
        </is>
      </c>
      <c r="D78" s="45" t="inlineStr">
        <is>
          <t>Bidder Assumptions</t>
        </is>
      </c>
      <c r="E78" s="46" t="inlineStr">
        <is>
          <t>Underlying cost drivers, expansion pacing, discount structures, inflation assumptions, and software lifecycle renewals.</t>
        </is>
      </c>
    </row>
    <row r="79">
      <c r="A79" s="39" t="inlineStr">
        <is>
          <t>Form D - Vendor Financing</t>
        </is>
      </c>
      <c r="B79" s="39" t="inlineStr">
        <is>
          <t>Parameter Ref</t>
        </is>
      </c>
      <c r="C79" s="40" t="inlineStr">
        <is>
          <t>Alphanumeric Code</t>
        </is>
      </c>
      <c r="D79" s="41" t="inlineStr">
        <is>
          <t>Reference ID</t>
        </is>
      </c>
      <c r="E79" s="42" t="inlineStr">
        <is>
          <t>Financing covenant parameter identifier from FIN-01 to FIN-09.</t>
        </is>
      </c>
    </row>
    <row r="80">
      <c r="A80" s="43" t="inlineStr">
        <is>
          <t>Form D - Vendor Financing</t>
        </is>
      </c>
      <c r="B80" s="43" t="inlineStr">
        <is>
          <t>Financing Term / Condition</t>
        </is>
      </c>
      <c r="C80" s="44" t="inlineStr">
        <is>
          <t>Text Description</t>
        </is>
      </c>
      <c r="D80" s="45" t="inlineStr">
        <is>
          <t>Term Name</t>
        </is>
      </c>
      <c r="E80" s="46" t="inlineStr">
        <is>
          <t>Mandatory financing parameter: Structure, Quantum (% Capex), Downpayment, Tenor, Grace Period, Interest Rate, Repayment Cadence, Security/Pledge, Committee Approval.</t>
        </is>
      </c>
    </row>
    <row r="81">
      <c r="A81" s="39" t="inlineStr">
        <is>
          <t>Form D - Vendor Financing</t>
        </is>
      </c>
      <c r="B81" s="39" t="inlineStr">
        <is>
          <t>Operator Mandatory Requirement</t>
        </is>
      </c>
      <c r="C81" s="40" t="inlineStr">
        <is>
          <t>Text / Benchmark</t>
        </is>
      </c>
      <c r="D81" s="41" t="inlineStr">
        <is>
          <t>Mandatory Rule</t>
        </is>
      </c>
      <c r="E81" s="42" t="inlineStr">
        <is>
          <t>Mandatory parameters: &gt;=80.0% Capex debt, &lt;=20.0% downpayment, flexible facility tenor up to 20 years (minimum 4 years, 5+ years preferred), deferred principal repayment / grace period up to 10 years (minimum 12 months, 18+ months preferred), competitive benchmark to SOFR + spread or fixed &lt;= 6.50% p.a.</t>
        </is>
      </c>
    </row>
    <row r="82">
      <c r="A82" s="43" t="inlineStr">
        <is>
          <t>Form D - Vendor Financing</t>
        </is>
      </c>
      <c r="B82" s="43" t="inlineStr">
        <is>
          <t>Bidder Binding Offer [Bidder Input]</t>
        </is>
      </c>
      <c r="C82" s="44" t="inlineStr">
        <is>
          <t>Text / Values</t>
        </is>
      </c>
      <c r="D82" s="47" t="inlineStr">
        <is>
          <t>BIDDER TO COMPLETE</t>
        </is>
      </c>
      <c r="E82" s="46" t="inlineStr">
        <is>
          <t>Contractually binding financing terms proposed by the Bidder and financing syndicate (Yellow input cells).</t>
        </is>
      </c>
    </row>
    <row r="83">
      <c r="A83" s="39" t="inlineStr">
        <is>
          <t>Form D - Vendor Financing</t>
        </is>
      </c>
      <c r="B83" s="39" t="inlineStr">
        <is>
          <t>Compliance / Notes</t>
        </is>
      </c>
      <c r="C83" s="40" t="inlineStr">
        <is>
          <t>Text Description</t>
        </is>
      </c>
      <c r="D83" s="41" t="inlineStr">
        <is>
          <t>Bidder Notes</t>
        </is>
      </c>
      <c r="E83" s="42" t="inlineStr">
        <is>
          <t>Compliance confirmation (Compliant / Minor Deviation / Exception), ECA facility details (e.g. Sinosure, EKN, Finnvera, JBIC), term sheet references, and drawdown conditions.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1"/>
  <sheetViews>
    <sheetView showGridLines="1" workbookViewId="0">
      <selection activeCell="A1" sqref="A1"/>
    </sheetView>
  </sheetViews>
  <sheetFormatPr baseColWidth="8" defaultRowHeight="15"/>
  <cols>
    <col width="45" customWidth="1" min="1" max="1"/>
    <col width="85" customWidth="1" min="2" max="2"/>
  </cols>
  <sheetData>
    <row r="1">
      <c r="A1" s="1" t="inlineStr">
        <is>
          <t>REQUEST FOR PROPOSAL (RFP) — COMMERCIAL PRICE BOOK &amp; BILL OF QUANTITIES (BoQ)</t>
        </is>
      </c>
    </row>
    <row r="2">
      <c r="A2" s="2" t="inlineStr">
        <is>
          <t>Project: Nationwide 5G FWA Network (Band n50, 60 MHz NCR / up to 80 MHz Provincial, Software-Configurable 40/50/60/80 MHz TDD) | 5,000 Sites Footprint</t>
        </is>
      </c>
    </row>
    <row r="3">
      <c r="A3" s="3" t="inlineStr">
        <is>
          <t>Operator: Telecommunications Technology Solutions Incorporated (TelTech)</t>
        </is>
      </c>
    </row>
    <row r="4">
      <c r="A4" t="inlineStr">
        <is>
          <t>Tender Document Reference: RFP-TELTECH-FWA-2026-001 | Version: Official Bidding Version</t>
        </is>
      </c>
    </row>
    <row r="6">
      <c r="A6" s="3" t="inlineStr">
        <is>
          <t>1. Instructions to Bidders</t>
        </is>
      </c>
      <c r="B6" s="7" t="inlineStr"/>
    </row>
    <row r="7">
      <c r="A7" s="7" t="inlineStr">
        <is>
          <t>Currency of Bidding</t>
        </is>
      </c>
      <c r="B7" s="7" t="inlineStr">
        <is>
          <t>All hardware, international software licenses, and CPE devices must be quoted in US Dollars (USD $). Local services, civil works, and managed operations may be quoted in USD or Philippine Pesos (PHP ₱ at baseline FX: 55.00 PHP/USD).</t>
        </is>
      </c>
    </row>
    <row r="8">
      <c r="A8" s="7" t="inlineStr">
        <is>
          <t>Price Validity</t>
        </is>
      </c>
      <c r="B8" s="7" t="inlineStr">
        <is>
          <t>All quoted unit prices, license fees, and service rates must remain firm, fixed, and contractually binding for at least 180 calendar days from the official tender closing date.</t>
        </is>
      </c>
    </row>
    <row r="9">
      <c r="A9" s="7" t="inlineStr">
        <is>
          <t>Turnkey Scope</t>
        </is>
      </c>
      <c r="B9" s="7" t="inlineStr">
        <is>
          <t>Quotes must reflect full turnkey delivery including ocean freight/air freight, customs clearance, import duties, local warehousing, transport hauling to remote barangays, installation, commissioning, and acceptance testing.</t>
        </is>
      </c>
    </row>
    <row r="10">
      <c r="A10" s="7" t="inlineStr">
        <is>
          <t>Yellow Input Cells</t>
        </is>
      </c>
      <c r="B10" s="7" t="inlineStr">
        <is>
          <t>Bidders must enter their firm unit rates and commercial offers directly into the designated highlighted cells. Formulas in Total columns will calculate automatically.</t>
        </is>
      </c>
    </row>
    <row r="11">
      <c r="A11" s="7" t="inlineStr">
        <is>
          <t>Vendor Financing (Form D)</t>
        </is>
      </c>
      <c r="B11" s="7" t="inlineStr">
        <is>
          <t>Completion of Tab "Form D - Vendor Financing" is mandatory. Bidders offering attractive OEM or ECA-backed financing facilities will receive preferential evaluation scoring.</t>
        </is>
      </c>
    </row>
    <row r="12">
      <c r="A12" s="7" t="inlineStr"/>
      <c r="B12" s="7" t="inlineStr"/>
    </row>
    <row r="13">
      <c r="A13" s="3" t="inlineStr">
        <is>
          <t>2. Summary of Tender Lots</t>
        </is>
      </c>
      <c r="B13" s="7" t="inlineStr">
        <is>
          <t>Tab Name Reference</t>
        </is>
      </c>
    </row>
    <row r="14">
      <c r="A14" s="3" t="inlineStr">
        <is>
          <t>Lot 1: 5G RAN Equipment &amp; Turnkey Rollout Services</t>
        </is>
      </c>
      <c r="B14" s="7" t="inlineStr">
        <is>
          <t>Lot 1 - RAN &amp; Rollout</t>
        </is>
      </c>
    </row>
    <row r="15">
      <c r="A15" s="3" t="inlineStr">
        <is>
          <t>Lot 2: Power Systems &amp; Passive Site Infrastructure</t>
        </is>
      </c>
      <c r="B15" s="7" t="inlineStr">
        <is>
          <t>Lot 2 - Power &amp; Passive</t>
        </is>
      </c>
    </row>
    <row r="16">
      <c r="A16" s="3" t="inlineStr">
        <is>
          <t>Lot 3: Cloud-Native 5G Core Network (5GC SA)</t>
        </is>
      </c>
      <c r="B16" s="7" t="inlineStr">
        <is>
          <t>Lot 3 - 5G Core</t>
        </is>
      </c>
    </row>
    <row r="17">
      <c r="A17" s="3" t="inlineStr">
        <is>
          <t>Lot 4: Converged Digital OSS/BSS &amp; Field Dispatch Automation</t>
        </is>
      </c>
      <c r="B17" s="7" t="inlineStr">
        <is>
          <t>Lot 4 - OSS-BSS</t>
        </is>
      </c>
    </row>
    <row r="18">
      <c r="A18" s="17" t="inlineStr">
        <is>
          <t>Lot 5: Site Acquisition, Detailed Site Survey (TSSR), RF Design &amp; Civil Works</t>
        </is>
      </c>
      <c r="B18" s="17" t="inlineStr">
        <is>
          <t>Lot 5 - Site Acq &amp; Civils</t>
        </is>
      </c>
    </row>
    <row r="19">
      <c r="A19" s="3" t="inlineStr">
        <is>
          <t>Lot 6: Managed Services &amp; 24/7 First Line Maintenance</t>
        </is>
      </c>
      <c r="B19" s="7" t="inlineStr">
        <is>
          <t>Lot 6 - Managed Services</t>
        </is>
      </c>
    </row>
    <row r="20">
      <c r="A20" s="3" t="inlineStr">
        <is>
          <t>Lot 7: 5G High-Gain Customer Premises Equipment (CPE)</t>
        </is>
      </c>
      <c r="B20" s="7" t="inlineStr">
        <is>
          <t>Lot 7 - 5G CPE</t>
        </is>
      </c>
    </row>
    <row r="21">
      <c r="A21" s="3" t="inlineStr">
        <is>
          <t>Form D: Mandatory Vendor Financing Proposal</t>
        </is>
      </c>
      <c r="B21" s="7" t="inlineStr">
        <is>
          <t>Form D - Vendor Financing</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8"/>
  <sheetViews>
    <sheetView showGridLines="1" workbookViewId="0">
      <selection activeCell="A1" sqref="A1"/>
    </sheetView>
  </sheetViews>
  <sheetFormatPr baseColWidth="8" defaultRowHeight="15"/>
  <cols>
    <col width="20" customWidth="1" min="1" max="1"/>
    <col width="34" customWidth="1" min="2" max="2"/>
    <col width="45" customWidth="1" min="3" max="3"/>
    <col width="20" customWidth="1" min="4" max="4"/>
    <col width="20" customWidth="1" min="5" max="5"/>
    <col width="20" customWidth="1" min="6" max="6"/>
    <col width="20" customWidth="1" min="7" max="7"/>
    <col width="20" customWidth="1" min="8" max="8"/>
    <col width="20" customWidth="1" min="9" max="9"/>
    <col width="20" customWidth="1" min="10" max="10"/>
  </cols>
  <sheetData>
    <row r="1">
      <c r="A1" s="1" t="inlineStr">
        <is>
          <t>LOT 1: 5G RADIO ACCESS NETWORK (RAN) HARDWARE &amp; TURNKEY SERVICES</t>
        </is>
      </c>
    </row>
    <row r="2">
      <c r="A2" t="inlineStr">
        <is>
          <t>Official Bidding Bill of Quantities — Enter Quoted Unit Rates in Column F</t>
        </is>
      </c>
    </row>
    <row r="4">
      <c r="A4" s="4" t="inlineStr">
        <is>
          <t>Item Code</t>
        </is>
      </c>
      <c r="B4" s="4" t="inlineStr">
        <is>
          <t>Item Description</t>
        </is>
      </c>
      <c r="C4" s="4" t="inlineStr">
        <is>
          <t>Detailed Technical Specification</t>
        </is>
      </c>
      <c r="D4" s="4" t="inlineStr">
        <is>
          <t>Qty / Site</t>
        </is>
      </c>
      <c r="E4" s="4" t="inlineStr">
        <is>
          <t>UoM</t>
        </is>
      </c>
      <c r="F4" s="4" t="inlineStr">
        <is>
          <t>Unit Rate (USD) [Bidder Input]</t>
        </is>
      </c>
      <c r="G4" s="4" t="inlineStr">
        <is>
          <t>Total per Site (USD)</t>
        </is>
      </c>
      <c r="H4" s="4" t="inlineStr">
        <is>
          <t>Phase 1 Total (1,000 Sites)</t>
        </is>
      </c>
      <c r="I4" s="4" t="inlineStr">
        <is>
          <t>Program Total (5,000 Sites)</t>
        </is>
      </c>
      <c r="J4" s="4" t="inlineStr">
        <is>
          <t>Remarks / Bidder Model</t>
        </is>
      </c>
    </row>
    <row r="5">
      <c r="A5" s="6" t="inlineStr">
        <is>
          <t>RAN-HW-01</t>
        </is>
      </c>
      <c r="B5" s="6" t="inlineStr">
        <is>
          <t>5G Baseband Unit (BBU)</t>
        </is>
      </c>
      <c r="C5" s="6" t="inlineStr">
        <is>
          <t>Modular 19" subrack, dual -48V DC PSU, 4x25G backhaul, 6x25G eCPRI, PTP/SyncE</t>
        </is>
      </c>
      <c r="D5" s="6" t="n">
        <v>1</v>
      </c>
      <c r="E5" s="6" t="inlineStr">
        <is>
          <t>set</t>
        </is>
      </c>
      <c r="F5" s="8" t="n"/>
      <c r="G5" s="6">
        <f>D5*F5</f>
        <v/>
      </c>
      <c r="H5" s="6">
        <f>G5*1000</f>
        <v/>
      </c>
      <c r="I5" s="6">
        <f>G5*5000</f>
        <v/>
      </c>
      <c r="J5" s="9" t="n"/>
    </row>
    <row r="6">
      <c r="A6" s="6" t="inlineStr">
        <is>
          <t>RAN-HW-02</t>
        </is>
      </c>
      <c r="B6" s="6" t="inlineStr">
        <is>
          <t>8T8R Remote Radio Unit (RRU)</t>
        </is>
      </c>
      <c r="C6" s="6" t="inlineStr">
        <is>
          <t>Band n50 (1.5 GHz), up to 80 MHz IBW (1437–1517 MHz, full 1432–1517 MHz hardware tuning range), 8x40W (320W total RF power), IP67, fanless</t>
        </is>
      </c>
      <c r="D6" s="6" t="n">
        <v>3</v>
      </c>
      <c r="E6" s="6" t="inlineStr">
        <is>
          <t>sets</t>
        </is>
      </c>
      <c r="F6" s="8" t="n"/>
      <c r="G6" s="6">
        <f>D6*F6</f>
        <v/>
      </c>
      <c r="H6" s="6">
        <f>G6*1000</f>
        <v/>
      </c>
      <c r="I6" s="6">
        <f>G6*5000</f>
        <v/>
      </c>
      <c r="J6" s="9" t="n"/>
    </row>
    <row r="7">
      <c r="A7" s="6" t="inlineStr">
        <is>
          <t>RAN-HW-03</t>
        </is>
      </c>
      <c r="B7" s="6" t="inlineStr">
        <is>
          <t>Macro 8-Port Antennas</t>
        </is>
      </c>
      <c r="C7" s="6" t="inlineStr">
        <is>
          <t>8-port cross-pol, 17.5 dBi gain, 65 deg beamwidth, internal AISG 2.0 eRET</t>
        </is>
      </c>
      <c r="D7" s="6" t="n">
        <v>3</v>
      </c>
      <c r="E7" s="6" t="inlineStr">
        <is>
          <t>sets</t>
        </is>
      </c>
      <c r="F7" s="8" t="n"/>
      <c r="G7" s="6">
        <f>D7*F7</f>
        <v/>
      </c>
      <c r="H7" s="6">
        <f>G7*1000</f>
        <v/>
      </c>
      <c r="I7" s="6">
        <f>G7*5000</f>
        <v/>
      </c>
      <c r="J7" s="9" t="n"/>
    </row>
    <row r="8">
      <c r="A8" s="6" t="inlineStr">
        <is>
          <t>RAN-HW-04</t>
        </is>
      </c>
      <c r="B8" s="6" t="inlineStr">
        <is>
          <t>RF Jumpers, Fiber Patchcords &amp; SPD</t>
        </is>
      </c>
      <c r="C8" s="6" t="inlineStr">
        <is>
          <t>Armored optical jumpers, DC SPD Type 2, grounding kits, waterproof boots</t>
        </is>
      </c>
      <c r="D8" s="6" t="n">
        <v>1</v>
      </c>
      <c r="E8" s="6" t="inlineStr">
        <is>
          <t>lot</t>
        </is>
      </c>
      <c r="F8" s="8" t="n"/>
      <c r="G8" s="6">
        <f>D8*F8</f>
        <v/>
      </c>
      <c r="H8" s="6">
        <f>G8*1000</f>
        <v/>
      </c>
      <c r="I8" s="6">
        <f>G8*5000</f>
        <v/>
      </c>
      <c r="J8" s="9" t="n"/>
    </row>
    <row r="9">
      <c r="A9" s="6" t="inlineStr">
        <is>
          <t>RAN-HW-05</t>
        </is>
      </c>
      <c r="B9" s="6" t="inlineStr">
        <is>
          <t>BBU Base Software &amp; 5G Features</t>
        </is>
      </c>
      <c r="C9" s="6" t="inlineStr">
        <is>
          <t>Band n50 carrier license (60 MHz NCR / up to 80 MHz Provincial, software-configurable 40/50/60/80 MHz TDD), 8T8R MU-MIMO, dynamic beamforming, energy-saving</t>
        </is>
      </c>
      <c r="D9" s="6" t="n">
        <v>1</v>
      </c>
      <c r="E9" s="6" t="inlineStr">
        <is>
          <t>lot</t>
        </is>
      </c>
      <c r="F9" s="8" t="n"/>
      <c r="G9" s="6">
        <f>D9*F9</f>
        <v/>
      </c>
      <c r="H9" s="6">
        <f>G9*1000</f>
        <v/>
      </c>
      <c r="I9" s="6">
        <f>G9*5000</f>
        <v/>
      </c>
      <c r="J9" s="9" t="n"/>
    </row>
    <row r="10">
      <c r="A10" s="10" t="inlineStr">
        <is>
          <t>SUBTOTAL-HW</t>
        </is>
      </c>
      <c r="B10" s="10" t="inlineStr">
        <is>
          <t>Subtotal BTS Hardware Package</t>
        </is>
      </c>
      <c r="C10" s="11" t="inlineStr">
        <is>
          <t>Total BTS Hardware Package per Site</t>
        </is>
      </c>
      <c r="D10" s="11" t="inlineStr"/>
      <c r="E10" s="11" t="inlineStr">
        <is>
          <t>site</t>
        </is>
      </c>
      <c r="F10" s="10" t="inlineStr"/>
      <c r="G10" s="10">
        <f>SUM(G5:G9)</f>
        <v/>
      </c>
      <c r="H10" s="10">
        <f>SUM(H5:H9)</f>
        <v/>
      </c>
      <c r="I10" s="10">
        <f>SUM(I5:I9)</f>
        <v/>
      </c>
      <c r="J10" s="12" t="n"/>
    </row>
    <row r="11">
      <c r="A11" s="49" t="inlineStr">
        <is>
          <t>RAN-SVC-01</t>
        </is>
      </c>
      <c r="B11" s="50" t="inlineStr">
        <is>
          <t>Project Management &amp; Rollout Mobilization</t>
        </is>
      </c>
      <c r="C11" s="51" t="inlineStr">
        <is>
          <t>Dedicated rollout PMO, milestone scheduling, vendor coordination, QA &amp; safety management</t>
        </is>
      </c>
      <c r="D11" s="49" t="n">
        <v>1</v>
      </c>
      <c r="E11" s="49" t="inlineStr">
        <is>
          <t>site</t>
        </is>
      </c>
      <c r="F11" s="67" t="n"/>
      <c r="G11" s="68">
        <f>D11*F11</f>
        <v/>
      </c>
      <c r="H11" s="68">
        <f>G11*1000</f>
        <v/>
      </c>
      <c r="I11" s="68">
        <f>G11*5000</f>
        <v/>
      </c>
      <c r="J11" s="50" t="inlineStr">
        <is>
          <t>Dedicated physical deployment service</t>
        </is>
      </c>
    </row>
    <row r="12">
      <c r="A12" s="56" t="inlineStr">
        <is>
          <t>RAN-SVC-02</t>
        </is>
      </c>
      <c r="B12" s="57" t="inlineStr">
        <is>
          <t>Installation, Testing &amp; Commissioning (I&amp;C)</t>
        </is>
      </c>
      <c r="C12" s="58" t="inlineStr">
        <is>
          <t>Rigging, antenna/RRU mount, optical cabling, BBU wiring, DC power termination, turn-up</t>
        </is>
      </c>
      <c r="D12" s="56" t="n">
        <v>1</v>
      </c>
      <c r="E12" s="56" t="inlineStr">
        <is>
          <t>site</t>
        </is>
      </c>
      <c r="F12" s="67" t="n"/>
      <c r="G12" s="69">
        <f>D12*F12</f>
        <v/>
      </c>
      <c r="H12" s="69">
        <f>G12*1000</f>
        <v/>
      </c>
      <c r="I12" s="69">
        <f>G12*5000</f>
        <v/>
      </c>
      <c r="J12" s="57" t="inlineStr">
        <is>
          <t>Dedicated physical deployment service</t>
        </is>
      </c>
    </row>
    <row r="13">
      <c r="A13" s="49" t="inlineStr">
        <is>
          <t>RAN-SVC-03</t>
        </is>
      </c>
      <c r="B13" s="50" t="inlineStr">
        <is>
          <t>Single Site Verification &amp; Acceptance (SSV/SSO)</t>
        </is>
      </c>
      <c r="C13" s="51" t="inlineStr">
        <is>
          <t>Stationary throughput, 3-sector call testing, ping, eRET tilt validation, SSV report</t>
        </is>
      </c>
      <c r="D13" s="49" t="n">
        <v>1</v>
      </c>
      <c r="E13" s="49" t="inlineStr">
        <is>
          <t>site</t>
        </is>
      </c>
      <c r="F13" s="67" t="n"/>
      <c r="G13" s="68">
        <f>D13*F13</f>
        <v/>
      </c>
      <c r="H13" s="68">
        <f>G13*1000</f>
        <v/>
      </c>
      <c r="I13" s="68">
        <f>G13*5000</f>
        <v/>
      </c>
      <c r="J13" s="50" t="inlineStr">
        <is>
          <t>Dedicated physical deployment service</t>
        </is>
      </c>
    </row>
    <row r="14">
      <c r="A14" s="56" t="inlineStr">
        <is>
          <t>RAN-SVC-04</t>
        </is>
      </c>
      <c r="B14" s="57" t="inlineStr">
        <is>
          <t>Central Warehousing &amp; Buffer Staging</t>
        </is>
      </c>
      <c r="C14" s="58" t="inlineStr">
        <is>
          <t>Serial-level barcode asset tagging, climate-controlled storage, kitting &amp; buffer stock</t>
        </is>
      </c>
      <c r="D14" s="56" t="n">
        <v>1</v>
      </c>
      <c r="E14" s="56" t="inlineStr">
        <is>
          <t>site</t>
        </is>
      </c>
      <c r="F14" s="67" t="n"/>
      <c r="G14" s="69">
        <f>D14*F14</f>
        <v/>
      </c>
      <c r="H14" s="69">
        <f>G14*1000</f>
        <v/>
      </c>
      <c r="I14" s="69">
        <f>G14*5000</f>
        <v/>
      </c>
      <c r="J14" s="57" t="inlineStr">
        <is>
          <t>Dedicated physical deployment service</t>
        </is>
      </c>
    </row>
    <row r="15">
      <c r="A15" s="49" t="inlineStr">
        <is>
          <t>RAN-SVC-05</t>
        </is>
      </c>
      <c r="B15" s="50" t="inlineStr">
        <is>
          <t>Regional Transport &amp; Final-Mile Site Hauling</t>
        </is>
      </c>
      <c r="C15" s="51" t="inlineStr">
        <is>
          <t>Hauling from central warehouse to regional hubs, 4x4 rough-road delivery to barangay site</t>
        </is>
      </c>
      <c r="D15" s="49" t="n">
        <v>1</v>
      </c>
      <c r="E15" s="49" t="inlineStr">
        <is>
          <t>site</t>
        </is>
      </c>
      <c r="F15" s="67" t="n"/>
      <c r="G15" s="68">
        <f>D15*F15</f>
        <v/>
      </c>
      <c r="H15" s="68">
        <f>G15*1000</f>
        <v/>
      </c>
      <c r="I15" s="68">
        <f>G15*5000</f>
        <v/>
      </c>
      <c r="J15" s="50" t="inlineStr">
        <is>
          <t>Dedicated physical deployment service</t>
        </is>
      </c>
    </row>
    <row r="16">
      <c r="A16" s="62" t="inlineStr">
        <is>
          <t>SUBTOTAL-SVC</t>
        </is>
      </c>
      <c r="B16" s="63" t="inlineStr">
        <is>
          <t>Subtotal Turnkey Rollout Services</t>
        </is>
      </c>
      <c r="C16" s="63" t="inlineStr">
        <is>
          <t>Total Dedicated RAN Rollout &amp; Commissioning Services per Site</t>
        </is>
      </c>
      <c r="D16" s="62" t="n">
        <v>1</v>
      </c>
      <c r="E16" s="62" t="inlineStr">
        <is>
          <t>site</t>
        </is>
      </c>
      <c r="F16" s="63" t="n"/>
      <c r="G16" s="70">
        <f>SUM(G11:G15)</f>
        <v/>
      </c>
      <c r="H16" s="70">
        <f>SUM(H11:H15)</f>
        <v/>
      </c>
      <c r="I16" s="70">
        <f>SUM(I11:I15)</f>
        <v/>
      </c>
      <c r="J16" s="63" t="inlineStr">
        <is>
          <t>Subtotal Turnkey Services</t>
        </is>
      </c>
    </row>
    <row r="17">
      <c r="A17" s="62" t="inlineStr">
        <is>
          <t>TOTAL-LOT1</t>
        </is>
      </c>
      <c r="B17" s="63" t="inlineStr">
        <is>
          <t>TOTAL TURNKEY RAN CAPEX PER SITE</t>
        </is>
      </c>
      <c r="C17" s="63" t="inlineStr">
        <is>
          <t>Combined BTS Hardware + Turnkey Rollout Services per Site</t>
        </is>
      </c>
      <c r="D17" s="62" t="n">
        <v>1</v>
      </c>
      <c r="E17" s="62" t="inlineStr">
        <is>
          <t>site</t>
        </is>
      </c>
      <c r="F17" s="63" t="n"/>
      <c r="G17" s="70">
        <f>G10+G16</f>
        <v/>
      </c>
      <c r="H17" s="70">
        <f>H10+H16</f>
        <v/>
      </c>
      <c r="I17" s="70">
        <f>I10+I16</f>
        <v/>
      </c>
      <c r="J17" s="63" t="inlineStr">
        <is>
          <t>Evaluated Lot 1 Total</t>
        </is>
      </c>
    </row>
    <row r="18">
      <c r="A18" s="71" t="inlineStr">
        <is>
          <t>*(Note: Detailed Site Surveys (TSSR), Greenfield Tower Permitting, RF Propagation Modeling, and Multi-Site Cluster RF Optimization are consolidated and evaluated under Lot 5 to eliminate scope duplication. Lot 1 Turnkey Services cover dedicated RAN hardware deployment, I&amp;C, SSV, warehousing, and hauling)*</t>
        </is>
      </c>
      <c r="B18" s="72" t="n"/>
      <c r="C18" s="72" t="n"/>
      <c r="D18" s="72" t="n"/>
      <c r="E18" s="72" t="n"/>
      <c r="F18" s="72" t="n"/>
      <c r="G18" s="72" t="n"/>
      <c r="H18" s="72" t="n"/>
      <c r="I18" s="72" t="n"/>
      <c r="J18" s="73" t="n"/>
    </row>
  </sheetData>
  <mergeCells count="1">
    <mergeCell ref="A18:J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9"/>
  <sheetViews>
    <sheetView showGridLines="1" workbookViewId="0">
      <selection activeCell="A1" sqref="A1"/>
    </sheetView>
  </sheetViews>
  <sheetFormatPr baseColWidth="8" defaultRowHeight="15"/>
  <cols>
    <col width="16" customWidth="1" min="1" max="1"/>
    <col width="34" customWidth="1" min="2" max="2"/>
    <col width="48" customWidth="1" min="3" max="3"/>
    <col width="22" customWidth="1" min="4" max="4"/>
    <col width="10" customWidth="1" min="5" max="5"/>
    <col width="14" customWidth="1" min="6" max="6"/>
    <col width="22" customWidth="1" min="7" max="7"/>
    <col width="20" customWidth="1" min="8" max="8"/>
    <col width="24" customWidth="1" min="9" max="9"/>
    <col width="24" customWidth="1" min="10" max="10"/>
  </cols>
  <sheetData>
    <row r="1">
      <c r="A1" s="1" t="inlineStr">
        <is>
          <t>LOT 2: POWER SYSTEMS &amp; PASSIVE INFRASTRUCTURE</t>
        </is>
      </c>
    </row>
    <row r="2">
      <c r="A2" t="inlineStr">
        <is>
          <t>Official Bidding Bill of Quantities — Enter Quoted Unit Rates in Column G (USD)</t>
        </is>
      </c>
    </row>
    <row r="4">
      <c r="A4" s="19" t="inlineStr">
        <is>
          <t>Item Code</t>
        </is>
      </c>
      <c r="B4" s="20" t="inlineStr">
        <is>
          <t>Equipment Description</t>
        </is>
      </c>
      <c r="C4" s="20" t="inlineStr">
        <is>
          <t>Technical Specification</t>
        </is>
      </c>
      <c r="D4" s="20" t="inlineStr">
        <is>
          <t>Application</t>
        </is>
      </c>
      <c r="E4" s="19" t="inlineStr">
        <is>
          <t>UoM</t>
        </is>
      </c>
      <c r="F4" s="19" t="inlineStr">
        <is>
          <t>Phase 1 Qty</t>
        </is>
      </c>
      <c r="G4" s="21" t="inlineStr">
        <is>
          <t>Unit Rate (USD) [Bidder Input]</t>
        </is>
      </c>
      <c r="H4" s="21" t="inlineStr">
        <is>
          <t>Unit Rate (PHP @ 55)</t>
        </is>
      </c>
      <c r="I4" s="21" t="inlineStr">
        <is>
          <t>Phase 1 Total (USD)</t>
        </is>
      </c>
      <c r="J4" s="20" t="inlineStr">
        <is>
          <t>Remarks / Bidder Model</t>
        </is>
      </c>
    </row>
    <row r="5">
      <c r="A5" s="22" t="inlineStr">
        <is>
          <t>PWR-01</t>
        </is>
      </c>
      <c r="B5" s="23" t="inlineStr">
        <is>
          <t>12.0 kW Total Installed / 9.0 kW Firm N+1 DC Rectifier Plant</t>
        </is>
      </c>
      <c r="C5" s="23" t="inlineStr">
        <is>
          <t>19" 3U subrack, 4x 3.0 kW modules (3 active + 1 redundant standby N+1), SMPS controller, 96% eff</t>
        </is>
      </c>
      <c r="D5" s="23" t="inlineStr">
        <is>
          <t>Co-loc &amp; Greenfield</t>
        </is>
      </c>
      <c r="E5" s="22" t="inlineStr">
        <is>
          <t>set</t>
        </is>
      </c>
      <c r="F5" s="31" t="n">
        <v>1000</v>
      </c>
      <c r="G5" s="24" t="n"/>
      <c r="H5" s="25">
        <f>G5*55</f>
        <v/>
      </c>
      <c r="I5" s="32">
        <f>F5*G5</f>
        <v/>
      </c>
      <c r="J5" s="23" t="n"/>
    </row>
    <row r="6">
      <c r="A6" s="22" t="inlineStr">
        <is>
          <t>PWR-02</t>
        </is>
      </c>
      <c r="B6" s="23" t="inlineStr">
        <is>
          <t>48V LiFePO4 Battery Bank (&gt;=20.0 kWh nominal)</t>
        </is>
      </c>
      <c r="C6" s="23" t="inlineStr">
        <is>
          <t>Sized for &gt;= 12.0 kWh usable energy over 4.0h @ 3.0 kW load, &lt;=80% DoD, 80% SoH retention (minimum &gt;= 20.0 kWh nominal installed bank capacity is controlling; 400 Ah to 450 Ah is indicative, loss-based calculation)</t>
        </is>
      </c>
      <c r="D6" s="23" t="inlineStr">
        <is>
          <t>Co-loc &amp; Greenfield</t>
        </is>
      </c>
      <c r="E6" s="22" t="inlineStr">
        <is>
          <t>set</t>
        </is>
      </c>
      <c r="F6" s="31" t="n">
        <v>1000</v>
      </c>
      <c r="G6" s="24" t="n"/>
      <c r="H6" s="25">
        <f>G6*55</f>
        <v/>
      </c>
      <c r="I6" s="32">
        <f>F6*G6</f>
        <v/>
      </c>
      <c r="J6" s="23" t="n"/>
    </row>
    <row r="7">
      <c r="A7" s="22" t="inlineStr">
        <is>
          <t>PWR-03</t>
        </is>
      </c>
      <c r="B7" s="23" t="inlineStr">
        <is>
          <t>TowerCo DC Tap-Off Box &amp; Submeter</t>
        </is>
      </c>
      <c r="C7" s="23" t="inlineStr">
        <is>
          <t>Enclosure, Class 1.0 revenue kWh meter, RS485 telemetry, SPD Type 2</t>
        </is>
      </c>
      <c r="D7" s="23" t="inlineStr">
        <is>
          <t>Leased TowerCo Sites</t>
        </is>
      </c>
      <c r="E7" s="22" t="inlineStr">
        <is>
          <t>set</t>
        </is>
      </c>
      <c r="F7" s="31" t="n">
        <v>897</v>
      </c>
      <c r="G7" s="24" t="n"/>
      <c r="H7" s="25">
        <f>G7*55</f>
        <v/>
      </c>
      <c r="I7" s="32">
        <f>F7*G7</f>
        <v/>
      </c>
      <c r="J7" s="23" t="n"/>
    </row>
    <row r="8">
      <c r="A8" s="22" t="inlineStr">
        <is>
          <t>PWR-04</t>
        </is>
      </c>
      <c r="B8" s="23" t="inlineStr">
        <is>
          <t>15 kVA Soundproof Standby Genset</t>
        </is>
      </c>
      <c r="C8" s="23" t="inlineStr">
        <is>
          <t>Diesel, 230V 60Hz, 500L-1000L sub-base tank, ATS auto-transfer, &lt;68dBA</t>
        </is>
      </c>
      <c r="D8" s="23" t="inlineStr">
        <is>
          <t>Greenfield Sites (Class T4)</t>
        </is>
      </c>
      <c r="E8" s="22" t="inlineStr">
        <is>
          <t>set</t>
        </is>
      </c>
      <c r="F8" s="31" t="n">
        <v>103</v>
      </c>
      <c r="G8" s="24" t="n"/>
      <c r="H8" s="25">
        <f>G8*55</f>
        <v/>
      </c>
      <c r="I8" s="32">
        <f>F8*G8</f>
        <v/>
      </c>
      <c r="J8" s="23" t="n"/>
    </row>
    <row r="9">
      <c r="A9" s="26" t="inlineStr">
        <is>
          <t>TOTAL-LOT2</t>
        </is>
      </c>
      <c r="B9" s="27" t="inlineStr">
        <is>
          <t>TOTAL POWER SYSTEMS &amp; ELECTRICAL INFRASTRUCTURE</t>
        </is>
      </c>
      <c r="C9" s="27" t="inlineStr">
        <is>
          <t>Total Phase 1 Capital Expenditure for Lot 2 Power Systems (Towers, compounds, and grounding are evaluated in Lot 5)</t>
        </is>
      </c>
      <c r="D9" s="27" t="inlineStr">
        <is>
          <t>1,000 Sites Footprint</t>
        </is>
      </c>
      <c r="E9" s="26" t="inlineStr">
        <is>
          <t>lot</t>
        </is>
      </c>
      <c r="F9" s="26" t="n">
        <v>1000</v>
      </c>
      <c r="G9" s="33" t="n"/>
      <c r="H9" s="33" t="n"/>
      <c r="I9" s="28">
        <f>SUM(I5:I8)</f>
        <v/>
      </c>
      <c r="J9" s="27" t="inlineStr">
        <is>
          <t>Evaluated Lot 2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3"/>
  <sheetViews>
    <sheetView showGridLines="1" workbookViewId="0">
      <selection activeCell="A1" sqref="A1"/>
    </sheetView>
  </sheetViews>
  <sheetFormatPr baseColWidth="8" defaultRowHeight="15"/>
  <cols>
    <col width="20" customWidth="1" min="1" max="1"/>
    <col width="34" customWidth="1" min="2" max="2"/>
    <col width="45" customWidth="1" min="3" max="3"/>
    <col width="20" customWidth="1" min="4" max="4"/>
    <col width="20" customWidth="1" min="5" max="5"/>
    <col width="20" customWidth="1" min="6" max="6"/>
    <col width="20" customWidth="1" min="7" max="7"/>
    <col width="20" customWidth="1" min="8" max="8"/>
  </cols>
  <sheetData>
    <row r="1">
      <c r="A1" s="1" t="inlineStr">
        <is>
          <t>LOT 3: CLOUD-NATIVE 5G CORE NETWORK (5GC SA) &amp; DATACENTER</t>
        </is>
      </c>
    </row>
    <row r="2">
      <c r="A2" t="inlineStr">
        <is>
          <t>Official Bidding Bill of Quantities — Enter Quoted Prices in Column F and AMC % in Column G</t>
        </is>
      </c>
    </row>
    <row r="4">
      <c r="A4" s="4" t="inlineStr">
        <is>
          <t>Item Code</t>
        </is>
      </c>
      <c r="B4" s="4" t="inlineStr">
        <is>
          <t>Core Subsystem</t>
        </is>
      </c>
      <c r="C4" s="4" t="inlineStr">
        <is>
          <t>Functional Description &amp; Sizing</t>
        </is>
      </c>
      <c r="D4" s="4" t="inlineStr">
        <is>
          <t>Licensing / Delivery</t>
        </is>
      </c>
      <c r="E4" s="4" t="inlineStr">
        <is>
          <t>UoM</t>
        </is>
      </c>
      <c r="F4" s="4" t="inlineStr">
        <is>
          <t>Year 1 Price (USD) [Bidder Input]</t>
        </is>
      </c>
      <c r="G4" s="4" t="inlineStr">
        <is>
          <t>Annual AMC % [Bidder Input]</t>
        </is>
      </c>
      <c r="H4" s="4" t="inlineStr">
        <is>
          <t>Remarks / Bidder Model</t>
        </is>
      </c>
    </row>
    <row r="5">
      <c r="A5" s="6" t="inlineStr">
        <is>
          <t>5GC-HW-01</t>
        </is>
      </c>
      <c r="B5" s="6" t="inlineStr">
        <is>
          <t>Compute Servers (2U Dual Socket)</t>
        </is>
      </c>
      <c r="C5" s="6" t="inlineStr">
        <is>
          <t>Dual Intel Xeon / AMD EPYC, 512GB RAM, redundant NVMe, dual 100GE NICs</t>
        </is>
      </c>
      <c r="D5" s="6" t="inlineStr">
        <is>
          <t>Hardware Purchase</t>
        </is>
      </c>
      <c r="E5" s="6" t="inlineStr">
        <is>
          <t>nodes</t>
        </is>
      </c>
      <c r="F5" s="15" t="n"/>
      <c r="G5" s="15" t="n"/>
    </row>
    <row r="6">
      <c r="A6" s="6" t="inlineStr">
        <is>
          <t>5GC-HW-02</t>
        </is>
      </c>
      <c r="B6" s="6" t="inlineStr">
        <is>
          <t>High-Performance UPF Nodes</t>
        </is>
      </c>
      <c r="C6" s="6" t="inlineStr">
        <is>
          <t>80 Gbps line-rate per node with DPDK/SR-IOV, N+1 redundancy across DCs</t>
        </is>
      </c>
      <c r="D6" s="6" t="inlineStr">
        <is>
          <t>Hardware Purchase</t>
        </is>
      </c>
      <c r="E6" s="6" t="inlineStr">
        <is>
          <t>nodes</t>
        </is>
      </c>
      <c r="F6" s="15" t="n"/>
      <c r="G6" s="15" t="n"/>
    </row>
    <row r="7">
      <c r="A7" s="6" t="inlineStr">
        <is>
          <t>5GC-HW-03</t>
        </is>
      </c>
      <c r="B7" s="6" t="inlineStr">
        <is>
          <t>Datacenter Fabric &amp; Security</t>
        </is>
      </c>
      <c r="C7" s="6" t="inlineStr">
        <is>
          <t>Spine/leaf 100G/25G switches, carrier next-gen firewalls, anti-DDoS</t>
        </is>
      </c>
      <c r="D7" s="6" t="inlineStr">
        <is>
          <t>Hardware Purchase</t>
        </is>
      </c>
      <c r="E7" s="6" t="inlineStr">
        <is>
          <t>lot</t>
        </is>
      </c>
      <c r="F7" s="15" t="n"/>
      <c r="G7" s="15" t="n"/>
    </row>
    <row r="8">
      <c r="A8" s="6" t="inlineStr">
        <is>
          <t>5GC-HW-04</t>
        </is>
      </c>
      <c r="B8" s="6" t="inlineStr">
        <is>
          <t>Storage &amp; Spares</t>
        </is>
      </c>
      <c r="C8" s="6" t="inlineStr">
        <is>
          <t>Enterprise NVMe redundant storage arrays, staging tooling, spares float</t>
        </is>
      </c>
      <c r="D8" s="6" t="inlineStr">
        <is>
          <t>Hardware Purchase</t>
        </is>
      </c>
      <c r="E8" s="6" t="inlineStr">
        <is>
          <t>lot</t>
        </is>
      </c>
      <c r="F8" s="15" t="n"/>
      <c r="G8" s="15" t="n"/>
    </row>
    <row r="9">
      <c r="A9" s="6" t="inlineStr">
        <is>
          <t>5GC-SW-01</t>
        </is>
      </c>
      <c r="B9" s="6" t="inlineStr">
        <is>
          <t>5GC Control Plane Software (1M Subs)</t>
        </is>
      </c>
      <c r="C9" s="6" t="inlineStr">
        <is>
          <t>AMF, SMF, PCF, UDM, UDR, AUSF, NRF, NSSF, CHF (1,000,000 registered subs)</t>
        </is>
      </c>
      <c r="D9" s="6" t="inlineStr">
        <is>
          <t>Perpetual License</t>
        </is>
      </c>
      <c r="E9" s="6" t="inlineStr">
        <is>
          <t>package</t>
        </is>
      </c>
      <c r="F9" s="15" t="n"/>
      <c r="G9" s="15" t="n"/>
    </row>
    <row r="10">
      <c r="A10" s="6" t="inlineStr">
        <is>
          <t>5GC-SW-02</t>
        </is>
      </c>
      <c r="B10" s="6" t="inlineStr">
        <is>
          <t>Carrier-Grade NAT &amp; DPI Software</t>
        </is>
      </c>
      <c r="C10" s="6" t="inlineStr">
        <is>
          <t>Deterministic CG-NAT port mapping + Layer-7 DPI bandwidth shaping</t>
        </is>
      </c>
      <c r="D10" s="6" t="inlineStr">
        <is>
          <t>Perpetual License</t>
        </is>
      </c>
      <c r="E10" s="6" t="inlineStr">
        <is>
          <t>package</t>
        </is>
      </c>
      <c r="F10" s="15" t="n"/>
      <c r="G10" s="15" t="n"/>
    </row>
    <row r="11">
      <c r="A11" s="6" t="inlineStr">
        <is>
          <t>5GC-SW-03</t>
        </is>
      </c>
      <c r="B11" s="6" t="inlineStr">
        <is>
          <t>CaaS / Kubernetes Platform</t>
        </is>
      </c>
      <c r="C11" s="6" t="inlineStr">
        <is>
          <t>Enterprise CaaS container platform, service mesh, logging &amp; telemetry</t>
        </is>
      </c>
      <c r="D11" s="6" t="inlineStr">
        <is>
          <t>Perpetual / Annual</t>
        </is>
      </c>
      <c r="E11" s="6" t="inlineStr">
        <is>
          <t>package</t>
        </is>
      </c>
      <c r="F11" s="15" t="n"/>
      <c r="G11" s="15" t="n"/>
    </row>
    <row r="12">
      <c r="A12" s="6" t="inlineStr">
        <is>
          <t>5GC-SVC-01</t>
        </is>
      </c>
      <c r="B12" s="6" t="inlineStr">
        <is>
          <t>System Integration &amp; RAN IOT</t>
        </is>
      </c>
      <c r="C12" s="6" t="inlineStr">
        <is>
          <t>High-level design, low-level design, RAN IOT, UAT and launch support</t>
        </is>
      </c>
      <c r="D12" s="6" t="inlineStr">
        <is>
          <t>Turnkey Services</t>
        </is>
      </c>
      <c r="E12" s="6" t="inlineStr">
        <is>
          <t>lot</t>
        </is>
      </c>
      <c r="F12" s="15" t="n"/>
      <c r="G12" s="15" t="n"/>
    </row>
    <row r="13">
      <c r="A13" s="13" t="inlineStr">
        <is>
          <t>TOTAL-5GC</t>
        </is>
      </c>
      <c r="B13" s="13" t="inlineStr">
        <is>
          <t>TOTAL 5G CORE YEAR 1 CAPEX</t>
        </is>
      </c>
      <c r="C13" s="13" t="inlineStr">
        <is>
          <t>Dual Datacenter Active-Active Setup Dimensioned for 1,000,000 Subscribers</t>
        </is>
      </c>
      <c r="D13" s="13" t="inlineStr">
        <is>
          <t>Turnkey Initial</t>
        </is>
      </c>
      <c r="E13" s="13" t="inlineStr">
        <is>
          <t>system</t>
        </is>
      </c>
      <c r="F13" s="16">
        <f>SUM(F5:F12)</f>
        <v/>
      </c>
      <c r="G13" s="16" t="n"/>
      <c r="H13" s="16"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5"/>
  <sheetViews>
    <sheetView showGridLines="1" workbookViewId="0">
      <selection activeCell="A1" sqref="A1"/>
    </sheetView>
  </sheetViews>
  <sheetFormatPr baseColWidth="8" defaultRowHeight="15"/>
  <cols>
    <col width="20" customWidth="1" min="1" max="1"/>
    <col width="34" customWidth="1" min="2" max="2"/>
    <col width="45" customWidth="1" min="3" max="3"/>
    <col width="20" customWidth="1" min="4" max="4"/>
    <col width="20" customWidth="1" min="5" max="5"/>
    <col width="20" customWidth="1" min="6" max="6"/>
    <col width="20" customWidth="1" min="7" max="7"/>
    <col width="20" customWidth="1" min="8" max="8"/>
  </cols>
  <sheetData>
    <row r="1">
      <c r="A1" s="1" t="inlineStr">
        <is>
          <t>LOT 4: CONVERGED DIGITAL OSS/BSS &amp; FIELD FORCE AUTOMATION</t>
        </is>
      </c>
    </row>
    <row r="2">
      <c r="A2" t="inlineStr">
        <is>
          <t>Official Bidding Bill of Quantities — Enter Quoted Prices in Column F and AMC % in Column G</t>
        </is>
      </c>
    </row>
    <row r="4">
      <c r="A4" s="4" t="inlineStr">
        <is>
          <t>Item Code</t>
        </is>
      </c>
      <c r="B4" s="4" t="inlineStr">
        <is>
          <t>OSS/BSS Functional Module</t>
        </is>
      </c>
      <c r="C4" s="4" t="inlineStr">
        <is>
          <t>Functional Scope &amp; Volume Driver</t>
        </is>
      </c>
      <c r="D4" s="4" t="inlineStr">
        <is>
          <t>License Type</t>
        </is>
      </c>
      <c r="E4" s="4" t="inlineStr">
        <is>
          <t>UoM</t>
        </is>
      </c>
      <c r="F4" s="4" t="inlineStr">
        <is>
          <t>Year 1 Price (USD) [Bidder Input]</t>
        </is>
      </c>
      <c r="G4" s="4" t="inlineStr">
        <is>
          <t>Annual AMC % [Bidder Input]</t>
        </is>
      </c>
      <c r="H4" s="4" t="inlineStr">
        <is>
          <t>Remarks / Bidder Model</t>
        </is>
      </c>
    </row>
    <row r="5">
      <c r="A5" s="6" t="inlineStr">
        <is>
          <t>BSS-01</t>
        </is>
      </c>
      <c r="B5" s="6" t="inlineStr">
        <is>
          <t>Converged CRM &amp; Product Catalog</t>
        </is>
      </c>
      <c r="C5" s="6" t="inlineStr">
        <is>
          <t>Omnichannel onboarding, self-care, 4 consumer tariffs + SME plans</t>
        </is>
      </c>
      <c r="D5" s="6" t="inlineStr">
        <is>
          <t>Perpetual Enterprise</t>
        </is>
      </c>
      <c r="E5" s="6" t="inlineStr">
        <is>
          <t>suite</t>
        </is>
      </c>
      <c r="F5" s="15" t="n"/>
      <c r="G5" s="15" t="n"/>
    </row>
    <row r="6">
      <c r="A6" s="6" t="inlineStr">
        <is>
          <t>BSS-02</t>
        </is>
      </c>
      <c r="B6" s="6" t="inlineStr">
        <is>
          <t>Real-Time Charging &amp; Rating (CHF)</t>
        </is>
      </c>
      <c r="C6" s="6" t="inlineStr">
        <is>
          <t>CHF adapter, real-time balance tracking, zero-balance redirection</t>
        </is>
      </c>
      <c r="D6" s="6" t="inlineStr">
        <is>
          <t>Perpetual License</t>
        </is>
      </c>
      <c r="E6" s="6" t="inlineStr">
        <is>
          <t>suite</t>
        </is>
      </c>
      <c r="F6" s="15" t="n"/>
      <c r="G6" s="15" t="n"/>
    </row>
    <row r="7">
      <c r="A7" s="6" t="inlineStr">
        <is>
          <t>BSS-03</t>
        </is>
      </c>
      <c r="B7" s="6" t="inlineStr">
        <is>
          <t>Omnichannel Payment Gateway</t>
        </is>
      </c>
      <c r="C7" s="6" t="inlineStr">
        <is>
          <t>Direct API integrations: GCash, Maya, 7-Eleven CLiQQ, Bayad, QR Ph</t>
        </is>
      </c>
      <c r="D7" s="6" t="inlineStr">
        <is>
          <t>Integration Module</t>
        </is>
      </c>
      <c r="E7" s="6" t="inlineStr">
        <is>
          <t>module</t>
        </is>
      </c>
      <c r="F7" s="15" t="n"/>
      <c r="G7" s="15" t="n"/>
    </row>
    <row r="8">
      <c r="A8" s="6" t="inlineStr">
        <is>
          <t>BSS-04</t>
        </is>
      </c>
      <c r="B8" s="6" t="inlineStr">
        <is>
          <t>Billing &amp; Invoicing Engine</t>
        </is>
      </c>
      <c r="C8" s="6" t="inlineStr">
        <is>
          <t>Postpaid billing for SME, enterprise anchor tenants, and dealer invoicing</t>
        </is>
      </c>
      <c r="D8" s="6" t="inlineStr">
        <is>
          <t>Perpetual License</t>
        </is>
      </c>
      <c r="E8" s="6" t="inlineStr">
        <is>
          <t>suite</t>
        </is>
      </c>
      <c r="F8" s="15" t="n"/>
      <c r="G8" s="15" t="n"/>
    </row>
    <row r="9">
      <c r="A9" s="6" t="inlineStr">
        <is>
          <t>OSS-01</t>
        </is>
      </c>
      <c r="B9" s="6" t="inlineStr">
        <is>
          <t>Field Force Management (FMS)</t>
        </is>
      </c>
      <c r="C9" s="6" t="inlineStr">
        <is>
          <t>Algorithmic automated dispatch handling 3,500 daily work orders</t>
        </is>
      </c>
      <c r="D9" s="6" t="inlineStr">
        <is>
          <t>Enterprise License</t>
        </is>
      </c>
      <c r="E9" s="6" t="inlineStr">
        <is>
          <t>suite</t>
        </is>
      </c>
      <c r="F9" s="15" t="n"/>
      <c r="G9" s="15" t="n"/>
    </row>
    <row r="10">
      <c r="A10" s="6" t="inlineStr">
        <is>
          <t>OSS-02</t>
        </is>
      </c>
      <c r="B10" s="6" t="inlineStr">
        <is>
          <t>Mobile Field Technician App</t>
        </is>
      </c>
      <c r="C10" s="6" t="inlineStr">
        <is>
          <t>Android app: GPS routing, barcode scan, live RF signal sweep tool</t>
        </is>
      </c>
      <c r="D10" s="6" t="inlineStr">
        <is>
          <t>Unlimited Users</t>
        </is>
      </c>
      <c r="E10" s="6" t="inlineStr">
        <is>
          <t>module</t>
        </is>
      </c>
      <c r="F10" s="15" t="n"/>
      <c r="G10" s="15" t="n"/>
    </row>
    <row r="11">
      <c r="A11" s="6" t="inlineStr">
        <is>
          <t>OSS-03</t>
        </is>
      </c>
      <c r="B11" s="6" t="inlineStr">
        <is>
          <t>CPE Warehouse Logistics &amp; Reverse WMS</t>
        </is>
      </c>
      <c r="C11" s="6" t="inlineStr">
        <is>
          <t>Serialized asset tracking across depots, vehicle float, repossession</t>
        </is>
      </c>
      <c r="D11" s="6" t="inlineStr">
        <is>
          <t>Enterprise License</t>
        </is>
      </c>
      <c r="E11" s="6" t="inlineStr">
        <is>
          <t>suite</t>
        </is>
      </c>
      <c r="F11" s="15" t="n"/>
      <c r="G11" s="15" t="n"/>
    </row>
    <row r="12">
      <c r="A12" s="6" t="inlineStr">
        <is>
          <t>OSS-04</t>
        </is>
      </c>
      <c r="B12" s="6" t="inlineStr">
        <is>
          <t>Network Fault &amp; Performance OSS</t>
        </is>
      </c>
      <c r="C12" s="6" t="inlineStr">
        <is>
          <t>Multi-vendor EMS integration, RCA correlation, synthetic SLA monitoring</t>
        </is>
      </c>
      <c r="D12" s="6" t="inlineStr">
        <is>
          <t>Enterprise License</t>
        </is>
      </c>
      <c r="E12" s="6" t="inlineStr">
        <is>
          <t>suite</t>
        </is>
      </c>
      <c r="F12" s="15" t="n"/>
      <c r="G12" s="15" t="n"/>
    </row>
    <row r="13">
      <c r="A13" s="6" t="inlineStr">
        <is>
          <t>OSS-05</t>
        </is>
      </c>
      <c r="B13" s="6" t="inlineStr">
        <is>
          <t>Regulatory Reporting &amp; BI Engine</t>
        </is>
      </c>
      <c r="C13" s="6" t="inlineStr">
        <is>
          <t>NTC QoS reporting dashboards, churn analytics, spatial subscriber BI</t>
        </is>
      </c>
      <c r="D13" s="6" t="inlineStr">
        <is>
          <t>Enterprise License</t>
        </is>
      </c>
      <c r="E13" s="6" t="inlineStr">
        <is>
          <t>suite</t>
        </is>
      </c>
      <c r="F13" s="15" t="n"/>
      <c r="G13" s="15" t="n"/>
    </row>
    <row r="14">
      <c r="A14" s="6" t="inlineStr">
        <is>
          <t>OSS-SVC</t>
        </is>
      </c>
      <c r="B14" s="6" t="inlineStr">
        <is>
          <t>Systems Integration, Testing &amp; Launch</t>
        </is>
      </c>
      <c r="C14" s="6" t="inlineStr">
        <is>
          <t>End-to-end integration with Core, RAN, payment gateways and UAT launch</t>
        </is>
      </c>
      <c r="D14" s="6" t="inlineStr">
        <is>
          <t>Professional Services</t>
        </is>
      </c>
      <c r="E14" s="6" t="inlineStr">
        <is>
          <t>lot</t>
        </is>
      </c>
      <c r="F14" s="15" t="n"/>
      <c r="G14" s="15" t="n"/>
    </row>
    <row r="15">
      <c r="A15" s="13" t="inlineStr">
        <is>
          <t>TOTAL-BSS</t>
        </is>
      </c>
      <c r="B15" s="13" t="inlineStr">
        <is>
          <t>TOTAL OSS/BSS YEAR 1 CAPEX</t>
        </is>
      </c>
      <c r="C15" s="13" t="inlineStr">
        <is>
          <t>Turnkey Digital Stack Dimensioned for 1,000,000 Initial Subscribers</t>
        </is>
      </c>
      <c r="D15" s="13" t="inlineStr">
        <is>
          <t>Turnkey Initial</t>
        </is>
      </c>
      <c r="E15" s="13" t="inlineStr">
        <is>
          <t>suite</t>
        </is>
      </c>
      <c r="F15" s="16">
        <f>SUM(F5:F14)</f>
        <v/>
      </c>
      <c r="G15" s="16" t="n"/>
      <c r="H15" s="16"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4"/>
  <sheetViews>
    <sheetView workbookViewId="0">
      <selection activeCell="A1" sqref="A1"/>
    </sheetView>
  </sheetViews>
  <sheetFormatPr baseColWidth="8" defaultRowHeight="15"/>
  <cols>
    <col width="16" customWidth="1" min="1" max="1"/>
    <col width="36" customWidth="1" min="2" max="2"/>
    <col width="50" customWidth="1" min="3" max="3"/>
    <col width="28" customWidth="1" min="4" max="4"/>
    <col width="10" customWidth="1" min="5" max="5"/>
    <col width="14" customWidth="1" min="6" max="6"/>
    <col width="24" customWidth="1" min="7" max="7"/>
    <col width="20" customWidth="1" min="8" max="8"/>
    <col width="22" customWidth="1" min="9" max="9"/>
    <col width="28" customWidth="1" min="10" max="10"/>
  </cols>
  <sheetData>
    <row r="1">
      <c r="A1" s="1" t="inlineStr">
        <is>
          <t>LOT 5: SITE ACQUISITION, DETAILED SITE SURVEY (TSSR), RF DESIGN &amp; CIVIL WORKS</t>
        </is>
      </c>
    </row>
    <row r="2">
      <c r="A2" s="18" t="inlineStr">
        <is>
          <t>Official Bidding Bill of Quantities — Enter Quoted Unit Rates in Column G (USD)</t>
        </is>
      </c>
    </row>
    <row r="4">
      <c r="A4" s="48" t="inlineStr">
        <is>
          <t>Item Code</t>
        </is>
      </c>
      <c r="B4" s="48" t="inlineStr">
        <is>
          <t>Service / Works Description</t>
        </is>
      </c>
      <c r="C4" s="48" t="inlineStr">
        <is>
          <t>Detailed Scope &amp; Technical Specification</t>
        </is>
      </c>
      <c r="D4" s="48" t="inlineStr">
        <is>
          <t>Site Class Application</t>
        </is>
      </c>
      <c r="E4" s="48" t="inlineStr">
        <is>
          <t>UoM</t>
        </is>
      </c>
      <c r="F4" s="48" t="inlineStr">
        <is>
          <t>Phase 1 Qty</t>
        </is>
      </c>
      <c r="G4" s="48" t="inlineStr">
        <is>
          <t>Unit Rate (USD) [Bidder Input]</t>
        </is>
      </c>
      <c r="H4" s="48" t="inlineStr">
        <is>
          <t>Unit Rate (PHP @ 55)</t>
        </is>
      </c>
      <c r="I4" s="4" t="inlineStr">
        <is>
          <t>Phase 1 Total (USD)</t>
        </is>
      </c>
      <c r="J4" s="4" t="inlineStr">
        <is>
          <t>Remarks / Bidder Methodology</t>
        </is>
      </c>
    </row>
    <row r="5">
      <c r="A5" s="49" t="inlineStr">
        <is>
          <t>CIV-SVC-01</t>
        </is>
      </c>
      <c r="B5" s="50" t="inlineStr">
        <is>
          <t>Detailed Site Survey Report (TSSR)</t>
        </is>
      </c>
      <c r="C5" s="51" t="inlineStr">
        <is>
          <t>Tower structural load audit, 360-degree drone photo sweep, power/grounding audit, civil layout sketch, and PE endorsement.</t>
        </is>
      </c>
      <c r="D5" s="49" t="inlineStr">
        <is>
          <t>All Sites (Co-loc &amp; Greenfield)</t>
        </is>
      </c>
      <c r="E5" s="49" t="inlineStr">
        <is>
          <t>site</t>
        </is>
      </c>
      <c r="F5" s="52" t="n">
        <v>1000</v>
      </c>
      <c r="G5" s="53" t="n"/>
      <c r="H5" s="54">
        <f>G5*55</f>
        <v/>
      </c>
      <c r="I5" s="55">
        <f>F5*G5</f>
        <v/>
      </c>
      <c r="J5" s="50" t="inlineStr">
        <is>
          <t>Comprehensive TSSR</t>
        </is>
      </c>
    </row>
    <row r="6">
      <c r="A6" s="56" t="inlineStr">
        <is>
          <t>CIV-SVC-02</t>
        </is>
      </c>
      <c r="B6" s="57" t="inlineStr">
        <is>
          <t>Site Acquisition &amp; Permitting Support</t>
        </is>
      </c>
      <c r="C6" s="58" t="inlineStr">
        <is>
          <t>LGU building permit processing, Barangay clearance, CAAP height clearance, and environmental compliance documentation.</t>
        </is>
      </c>
      <c r="D6" s="56" t="inlineStr">
        <is>
          <t>Greenfield Sites</t>
        </is>
      </c>
      <c r="E6" s="56" t="inlineStr">
        <is>
          <t>site</t>
        </is>
      </c>
      <c r="F6" s="59" t="n">
        <v>103</v>
      </c>
      <c r="G6" s="53" t="n"/>
      <c r="H6" s="60">
        <f>G6*55</f>
        <v/>
      </c>
      <c r="I6" s="61">
        <f>F6*G6</f>
        <v/>
      </c>
      <c r="J6" s="57" t="inlineStr">
        <is>
          <t>Full permit clearance</t>
        </is>
      </c>
    </row>
    <row r="7">
      <c r="A7" s="49" t="inlineStr">
        <is>
          <t>CIV-SVC-03</t>
        </is>
      </c>
      <c r="B7" s="50" t="inlineStr">
        <is>
          <t>Equipment Pad Foundation &amp; Cable Gantry</t>
        </is>
      </c>
      <c r="C7" s="51" t="inlineStr">
        <is>
          <t>Reinforced concrete plinth for outdoor DC power cabinet/battery, elevated cable tray/gantry, and AC interconnect point.</t>
        </is>
      </c>
      <c r="D7" s="49" t="inlineStr">
        <is>
          <t>Leased TowerCo Sites</t>
        </is>
      </c>
      <c r="E7" s="49" t="inlineStr">
        <is>
          <t>site</t>
        </is>
      </c>
      <c r="F7" s="52" t="n">
        <v>897</v>
      </c>
      <c r="G7" s="53" t="n"/>
      <c r="H7" s="54">
        <f>G7*55</f>
        <v/>
      </c>
      <c r="I7" s="55">
        <f>F7*G7</f>
        <v/>
      </c>
      <c r="J7" s="50" t="inlineStr">
        <is>
          <t>Co-location upgrade</t>
        </is>
      </c>
    </row>
    <row r="8">
      <c r="A8" s="56" t="inlineStr">
        <is>
          <t>CIV-SVC-04</t>
        </is>
      </c>
      <c r="B8" s="57" t="inlineStr">
        <is>
          <t>Greenfield Compound Civil Works &amp; Foundation</t>
        </is>
      </c>
      <c r="C8" s="58" t="inlineStr">
        <is>
          <t>8m x 8m compound grading, perimeter chain-link security fence, crushed gravel bedding, and reinforced foundation slab.</t>
        </is>
      </c>
      <c r="D8" s="56" t="inlineStr">
        <is>
          <t>Greenfield Sites (Class T4)</t>
        </is>
      </c>
      <c r="E8" s="56" t="inlineStr">
        <is>
          <t>site</t>
        </is>
      </c>
      <c r="F8" s="59" t="n">
        <v>103</v>
      </c>
      <c r="G8" s="53" t="n"/>
      <c r="H8" s="60">
        <f>G8*55</f>
        <v/>
      </c>
      <c r="I8" s="61">
        <f>F8*G8</f>
        <v/>
      </c>
      <c r="J8" s="57" t="inlineStr">
        <is>
          <t>Civil compound construction</t>
        </is>
      </c>
    </row>
    <row r="9">
      <c r="A9" s="49" t="inlineStr">
        <is>
          <t>CIV-SVC-05</t>
        </is>
      </c>
      <c r="B9" s="50" t="inlineStr">
        <is>
          <t>Grounding Grid &amp; Lightning Protection System</t>
        </is>
      </c>
      <c r="C9" s="51" t="inlineStr">
        <is>
          <t>Exothermically welded copper ground ring (Cadweld), ground rods, copper busbar, and air terminal (&lt;= 5.0 Ohms).</t>
        </is>
      </c>
      <c r="D9" s="49" t="inlineStr">
        <is>
          <t>Greenfield Sites (Class T4)</t>
        </is>
      </c>
      <c r="E9" s="49" t="inlineStr">
        <is>
          <t>site</t>
        </is>
      </c>
      <c r="F9" s="52" t="n">
        <v>103</v>
      </c>
      <c r="G9" s="53" t="n"/>
      <c r="H9" s="54">
        <f>G9*55</f>
        <v/>
      </c>
      <c r="I9" s="55">
        <f>F9*G9</f>
        <v/>
      </c>
      <c r="J9" s="50" t="inlineStr">
        <is>
          <t>Dedicated earth ground ring</t>
        </is>
      </c>
    </row>
    <row r="10">
      <c r="A10" s="56" t="inlineStr">
        <is>
          <t>CIV-SVC-06</t>
        </is>
      </c>
      <c r="B10" s="57" t="inlineStr">
        <is>
          <t>30m Galvanized Steel Monopole Tower</t>
        </is>
      </c>
      <c r="C10" s="58" t="inlineStr">
        <is>
          <t>ASTM A572 steel monopole, 250 km/h Category 5 wind rating, climbing ladder with fall arrest, rigging, erection, and certification.</t>
        </is>
      </c>
      <c r="D10" s="56" t="inlineStr">
        <is>
          <t>Greenfield Standard Height (Alternative A)</t>
        </is>
      </c>
      <c r="E10" s="56" t="inlineStr">
        <is>
          <t>site</t>
        </is>
      </c>
      <c r="F10" s="59" t="n">
        <v>80</v>
      </c>
      <c r="G10" s="53" t="n"/>
      <c r="H10" s="60">
        <f>G10*55</f>
        <v/>
      </c>
      <c r="I10" s="61">
        <f>F10*G10</f>
        <v/>
      </c>
      <c r="J10" s="57" t="inlineStr">
        <is>
          <t>80 sites standard (mutually exclusive with 40m)</t>
        </is>
      </c>
    </row>
    <row r="11">
      <c r="A11" s="49" t="inlineStr">
        <is>
          <t>CIV-SVC-07</t>
        </is>
      </c>
      <c r="B11" s="50" t="inlineStr">
        <is>
          <t>40m Galvanized Steel Monopole Tower</t>
        </is>
      </c>
      <c r="C11" s="51" t="inlineStr">
        <is>
          <t>ASTM A572 steel monopole, 250 km/h Category 5 wind rating, fall arrest, rigging, erection, and structural PE certification.</t>
        </is>
      </c>
      <c r="D11" s="49" t="inlineStr">
        <is>
          <t>Greenfield High-Clearance (Alternative B)</t>
        </is>
      </c>
      <c r="E11" s="49" t="inlineStr">
        <is>
          <t>site</t>
        </is>
      </c>
      <c r="F11" s="52" t="n">
        <v>23</v>
      </c>
      <c r="G11" s="53" t="n"/>
      <c r="H11" s="54">
        <f>G11*55</f>
        <v/>
      </c>
      <c r="I11" s="55">
        <f>F11*G11</f>
        <v/>
      </c>
      <c r="J11" s="50" t="inlineStr">
        <is>
          <t>23 sites terrain/canopy (mutually exclusive with 30m)</t>
        </is>
      </c>
    </row>
    <row r="12">
      <c r="A12" s="56" t="inlineStr">
        <is>
          <t>CIV-SVC-08</t>
        </is>
      </c>
      <c r="B12" s="57" t="inlineStr">
        <is>
          <t>RF Propagation Modeling &amp; Siting Optimization</t>
        </is>
      </c>
      <c r="C12" s="58" t="inlineStr">
        <is>
          <t>High-resolution 3D ray-tracing simulation, local clutter calibration, candidate search ring generation, and nominal design.</t>
        </is>
      </c>
      <c r="D12" s="56" t="inlineStr">
        <is>
          <t>Macro Network Footprint</t>
        </is>
      </c>
      <c r="E12" s="56" t="inlineStr">
        <is>
          <t>site</t>
        </is>
      </c>
      <c r="F12" s="59" t="n">
        <v>1000</v>
      </c>
      <c r="G12" s="53" t="n"/>
      <c r="H12" s="60">
        <f>G12*55</f>
        <v/>
      </c>
      <c r="I12" s="61">
        <f>F12*G12</f>
        <v/>
      </c>
      <c r="J12" s="57" t="inlineStr">
        <is>
          <t>RF planning &amp; candidate search rings</t>
        </is>
      </c>
    </row>
    <row r="13">
      <c r="A13" s="49" t="inlineStr">
        <is>
          <t>CIV-SVC-09</t>
        </is>
      </c>
      <c r="B13" s="50" t="inlineStr">
        <is>
          <t>Cluster RF Optimization &amp; Drive Testing Services</t>
        </is>
      </c>
      <c r="C13" s="51" t="inlineStr">
        <is>
          <t>Multi-site cluster drive testing, antenna tilt/azimuth physical optimization, pilot pollution removal, and handover tuning.</t>
        </is>
      </c>
      <c r="D13" s="49" t="inlineStr">
        <is>
          <t>Multi-Site Clusters (per site share)</t>
        </is>
      </c>
      <c r="E13" s="49" t="inlineStr">
        <is>
          <t>site</t>
        </is>
      </c>
      <c r="F13" s="52" t="n">
        <v>1000</v>
      </c>
      <c r="G13" s="53" t="n"/>
      <c r="H13" s="54">
        <f>G13*55</f>
        <v/>
      </c>
      <c r="I13" s="55">
        <f>F13*G13</f>
        <v/>
      </c>
      <c r="J13" s="50" t="inlineStr">
        <is>
          <t>Cluster drive testing &amp; tuning</t>
        </is>
      </c>
    </row>
    <row r="14">
      <c r="A14" s="62" t="inlineStr">
        <is>
          <t>TOTAL-LOT5</t>
        </is>
      </c>
      <c r="B14" s="63" t="inlineStr">
        <is>
          <t>TOTAL PHASE 1 CIVIL &amp; SITING WORKS (USD)</t>
        </is>
      </c>
      <c r="C14" s="63" t="inlineStr">
        <is>
          <t>Evaluated Turnkey Site Acquisition, Survey, Towers &amp; Civil Infrastructure</t>
        </is>
      </c>
      <c r="D14" s="62" t="inlineStr">
        <is>
          <t>1,000 Sites Footprint (897 Co-loc + 103 Greenfield)</t>
        </is>
      </c>
      <c r="E14" s="62" t="inlineStr">
        <is>
          <t>lot</t>
        </is>
      </c>
      <c r="F14" s="64" t="n">
        <v>1000</v>
      </c>
      <c r="G14" s="65" t="n"/>
      <c r="H14" s="65" t="n"/>
      <c r="I14" s="65">
        <f>SUM(I5:I13)</f>
        <v/>
      </c>
      <c r="J14" s="63" t="inlineStr">
        <is>
          <t>Phase 1 Evaluated Total</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0"/>
  <sheetViews>
    <sheetView showGridLines="1" workbookViewId="0">
      <selection activeCell="A1" sqref="A1"/>
    </sheetView>
  </sheetViews>
  <sheetFormatPr baseColWidth="8" defaultRowHeight="15"/>
  <cols>
    <col width="20" customWidth="1" min="1" max="1"/>
    <col width="34" customWidth="1" min="2" max="2"/>
    <col width="45" customWidth="1" min="3" max="3"/>
    <col width="20" customWidth="1" min="4" max="4"/>
    <col width="20" customWidth="1" min="5" max="5"/>
    <col width="20" customWidth="1" min="6" max="6"/>
    <col width="20" customWidth="1" min="7" max="7"/>
    <col width="20" customWidth="1" min="8" max="8"/>
  </cols>
  <sheetData>
    <row r="1">
      <c r="A1" s="1" t="inlineStr">
        <is>
          <t>LOT 6: NATIONWIDE MANAGED SERVICES &amp; 24/7 NETWORK OPERATIONS</t>
        </is>
      </c>
    </row>
    <row r="2">
      <c r="A2" t="inlineStr">
        <is>
          <t>Official Bidding Bill of Quantities — Enter Quoted Monthly Rate per Site in Column E</t>
        </is>
      </c>
    </row>
    <row r="4">
      <c r="A4" s="4" t="inlineStr">
        <is>
          <t>Item Code</t>
        </is>
      </c>
      <c r="B4" s="4" t="inlineStr">
        <is>
          <t>Service Domain</t>
        </is>
      </c>
      <c r="C4" s="4" t="inlineStr">
        <is>
          <t>Operational Scope of Work</t>
        </is>
      </c>
      <c r="D4" s="4" t="inlineStr">
        <is>
          <t>SLA Target</t>
        </is>
      </c>
      <c r="E4" s="4" t="inlineStr">
        <is>
          <t>Monthly Rate / Site (PHP) [Bidder Input]</t>
        </is>
      </c>
      <c r="F4" s="4" t="inlineStr">
        <is>
          <t>Monthly Rate (USD @ 55)</t>
        </is>
      </c>
      <c r="G4" s="4" t="inlineStr">
        <is>
          <t>Annual Cost / Site (USD)</t>
        </is>
      </c>
      <c r="H4" s="4" t="inlineStr">
        <is>
          <t>Remarks</t>
        </is>
      </c>
    </row>
    <row r="5">
      <c r="A5" s="6" t="inlineStr">
        <is>
          <t>MS-01</t>
        </is>
      </c>
      <c r="B5" s="6" t="inlineStr">
        <is>
          <t>24/7 Tier-2/Tier-3 Central NOC</t>
        </is>
      </c>
      <c r="C5" s="6" t="inlineStr">
        <is>
          <t>Continuous 24/7/365 active monitoring, alarm triage, dispatch</t>
        </is>
      </c>
      <c r="D5" s="6" t="inlineStr">
        <is>
          <t>99.95% Target (99.70% Min SLA)</t>
        </is>
      </c>
      <c r="E5" s="15" t="n"/>
      <c r="F5" s="7">
        <f>E5/55</f>
        <v/>
      </c>
      <c r="G5" s="7">
        <f>F5*12</f>
        <v/>
      </c>
    </row>
    <row r="6">
      <c r="A6" s="6" t="inlineStr">
        <is>
          <t>MS-02</t>
        </is>
      </c>
      <c r="B6" s="6" t="inlineStr">
        <is>
          <t>First Line Maintenance (FLM)</t>
        </is>
      </c>
      <c r="C6" s="6" t="inlineStr">
        <is>
          <t>Nationwide 24/7 emergency restoration, 4x4 response vehicles</t>
        </is>
      </c>
      <c r="D6" s="6" t="inlineStr">
        <is>
          <t>MTTR &lt;=2h (U) / &lt;=4h (R)</t>
        </is>
      </c>
      <c r="E6" s="15" t="n"/>
      <c r="F6" s="7">
        <f>E6/55</f>
        <v/>
      </c>
      <c r="G6" s="7">
        <f>F6*12</f>
        <v/>
      </c>
    </row>
    <row r="7">
      <c r="A7" s="6" t="inlineStr">
        <is>
          <t>MS-03</t>
        </is>
      </c>
      <c r="B7" s="6" t="inlineStr">
        <is>
          <t>Preventive Maintenance (PM)</t>
        </is>
      </c>
      <c r="C7" s="6" t="inlineStr">
        <is>
          <t>Quarterly site inspections: power, RF jumpers, batteries, grounding</t>
        </is>
      </c>
      <c r="D7" s="6" t="inlineStr">
        <is>
          <t>100% Quarterly Audit</t>
        </is>
      </c>
      <c r="E7" s="15" t="n"/>
      <c r="F7" s="7">
        <f>E7/55</f>
        <v/>
      </c>
      <c r="G7" s="7">
        <f>F7*12</f>
        <v/>
      </c>
    </row>
    <row r="8">
      <c r="A8" s="6" t="inlineStr">
        <is>
          <t>MS-04</t>
        </is>
      </c>
      <c r="B8" s="6" t="inlineStr">
        <is>
          <t>Spare Parts Logistics &amp; Warehousing</t>
        </is>
      </c>
      <c r="C8" s="6" t="inlineStr">
        <is>
          <t>SPMS regional buffer float, next-business-day (NBD) replacement</t>
        </is>
      </c>
      <c r="D8" s="6" t="inlineStr">
        <is>
          <t>NBD Delivery SLA</t>
        </is>
      </c>
      <c r="E8" s="15" t="n"/>
      <c r="F8" s="7">
        <f>E8/55</f>
        <v/>
      </c>
      <c r="G8" s="7">
        <f>F8*12</f>
        <v/>
      </c>
    </row>
    <row r="9">
      <c r="A9" s="6" t="inlineStr">
        <is>
          <t>MS-05</t>
        </is>
      </c>
      <c r="B9" s="6" t="inlineStr">
        <is>
          <t>Continuous RF Cluster Optimization</t>
        </is>
      </c>
      <c r="C9" s="6" t="inlineStr">
        <is>
          <t>Routine KPI analysis, neighbor list optimization, interference tuning</t>
        </is>
      </c>
      <c r="D9" s="6" t="inlineStr">
        <is>
          <t>Zero degraded clusters</t>
        </is>
      </c>
      <c r="E9" s="15" t="n"/>
      <c r="F9" s="7">
        <f>E9/55</f>
        <v/>
      </c>
      <c r="G9" s="7">
        <f>F9*12</f>
        <v/>
      </c>
    </row>
    <row r="10">
      <c r="A10" s="13" t="inlineStr">
        <is>
          <t>TOTAL-MS</t>
        </is>
      </c>
      <c r="B10" s="13" t="inlineStr">
        <is>
          <t>TOTAL MANAGED SERVICES PER SITE</t>
        </is>
      </c>
      <c r="C10" s="13" t="inlineStr">
        <is>
          <t>Full-Scope Active Network Telecom O&amp;M Managed Operations</t>
        </is>
      </c>
      <c r="D10" s="13" t="inlineStr">
        <is>
          <t>Strict SLA Governed</t>
        </is>
      </c>
      <c r="E10" s="16">
        <f>SUM(E5:E9)</f>
        <v/>
      </c>
      <c r="F10" s="16">
        <f>SUM(F5:F9)</f>
        <v/>
      </c>
      <c r="G10" s="16">
        <f>SUM(G5:G9)</f>
        <v/>
      </c>
      <c r="H10" s="16"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89"/>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52" customWidth="1" min="3" max="3"/>
    <col width="15" customWidth="1" min="4" max="4"/>
    <col width="13" customWidth="1" min="5" max="5"/>
    <col width="13" customWidth="1" min="6" max="6"/>
    <col width="24" customWidth="1" min="7" max="7"/>
    <col width="20" customWidth="1" min="8" max="8"/>
    <col width="20" customWidth="1" min="9" max="9"/>
    <col width="22" customWidth="1" min="10" max="10"/>
    <col width="22" customWidth="1" min="11" max="11"/>
    <col width="32" customWidth="1" min="12" max="12"/>
    <col width="28" customWidth="1" min="13" max="13"/>
  </cols>
  <sheetData>
    <row r="1">
      <c r="A1" s="91" t="inlineStr">
        <is>
          <t>5G FWA PROGRAM — MASTER SERVICES SOW &amp; COMMERCIAL RATE CARD (REVISION 2.1 - RECONCILED TENDER BASELINE)</t>
        </is>
      </c>
    </row>
    <row r="2">
      <c r="A2" s="92" t="inlineStr">
        <is>
          <t>Tender Ref: RFP-TELTECH-FWA-2026-001 | Operator: TelTech / Converge ICT Solutions Inc. | Audited Tower Database: 13,810 Locations | Baseline FX: 1 USD = 55.00 PHP | Author: Oliver Tungol</t>
        </is>
      </c>
    </row>
    <row r="3" ht="42" customHeight="1">
      <c r="A3" s="93" t="inlineStr">
        <is>
          <t>GOVERNANCE &amp; COMMERCIAL PRICING PRINCIPLES: (1) Primary Operational Baseline is TowerCo-Acquired (Tier 1 Co-Location 89.7% / Tier 2 Build-to-Suit 10.3%). Under MLA, TowerCo conducts candidate hunting, leasing, LGU permits, TIA-222-H structural wind simulation (250–315 km/h), foundation check, and licensed PE wet-seal. Vendor scopes physical audit, active equipment loading dossier (weight, EPA, brackets), and mounting verification. (2) Category 1 (SAQ-01 to SAQ-08) serves STRICTLY as a Standby / Contingency Call-Off Rate Card for Tier 3 Operator Own-Build, evaluated against an explicit 10.3% Contingency Basket (103 sites Phase 1 / 515 sites Program). (3) Bundled O&amp;M items (FLM-02 to 04, SPM-02 to 03) evaluate at $0.00 (Included in Base Retainer). (4) O&amp;M services are evaluated on explicit annualized (12-month) and 3-Year contractual baselines (matching Lot 6).</t>
        </is>
      </c>
    </row>
    <row r="5" ht="32" customHeight="1">
      <c r="A5" s="94" t="inlineStr">
        <is>
          <t>Item Ref</t>
        </is>
      </c>
      <c r="B5" s="94" t="inlineStr">
        <is>
          <t>Service Title</t>
        </is>
      </c>
      <c r="C5" s="94" t="inlineStr">
        <is>
          <t>Detailed Technical Scope &amp; Governance Boundaries</t>
        </is>
      </c>
      <c r="D5" s="94" t="inlineStr">
        <is>
          <t>UoM</t>
        </is>
      </c>
      <c r="E5" s="94" t="inlineStr">
        <is>
          <t>Phase 1 Qty</t>
        </is>
      </c>
      <c r="F5" s="94" t="inlineStr">
        <is>
          <t>Program Qty</t>
        </is>
      </c>
      <c r="G5" s="94" t="inlineStr">
        <is>
          <t>Evaluation Basis / Multiplier</t>
        </is>
      </c>
      <c r="H5" s="94" t="inlineStr">
        <is>
          <t>Unit Rate (USD) [Bidder Input]</t>
        </is>
      </c>
      <c r="I5" s="94" t="inlineStr">
        <is>
          <t>Unit Rate (PHP @ 55)</t>
        </is>
      </c>
      <c r="J5" s="94" t="inlineStr">
        <is>
          <t>Evaluated Phase 1 Amount (USD)</t>
        </is>
      </c>
      <c r="K5" s="94" t="inlineStr">
        <is>
          <t>Evaluated Program Amount (USD)</t>
        </is>
      </c>
      <c r="L5" s="94" t="inlineStr">
        <is>
          <t>Lot / TCO Reconciliation Mapping</t>
        </is>
      </c>
      <c r="M5" s="94" t="inlineStr">
        <is>
          <t>Deliverable Artifact</t>
        </is>
      </c>
    </row>
    <row r="6" ht="24" customHeight="1">
      <c r="A6" s="95" t="inlineStr">
        <is>
          <t>DOMAIN: SITE ACQUISITION &amp; LEGAL PERMITTING (STANDBY CONTINGENCY RATE CARD — TIER 3 OPERATOR OWN-BUILD 10.3% EVALUATION BASKET)</t>
        </is>
      </c>
    </row>
    <row r="7" ht="40" customHeight="1">
      <c r="A7" s="80" t="inlineStr">
        <is>
          <t>SAQ-01</t>
        </is>
      </c>
      <c r="B7" s="96" t="inlineStr">
        <is>
          <t>Nominal Search Ring Siting &amp; Candidate Hunting</t>
        </is>
      </c>
      <c r="C7" s="97" t="inlineStr">
        <is>
          <t>[OPERATIONAL BASELINE: Siting and candidate hunting is executed by the TowerCo. Vendor performs on-site technical vetting (RF LOS, antenna height, structural feasibility) and issues joint endorsement; Operator issues final approval. COMMERCIAL PRICING BASIS: Quoted rate serves strictly as a Standby / Contingency Call-Off Rate Card for Operator Self-Acquisition / Own-Build]. Field identification, screening, and ranking of three (3) viable candidates (Candidate A - Primary, Candidate B - Secondary, Candidate C - Contingency) within the assigned nominal search ring (500m radius for urban/suburban; 1,000m radius for rural). Mandatory spatial screening against audited TowerCo database (13,810 audited tower locations) to prioritize Tier 1 co-location. Scope includes visual inspection of antenna mounting feasibility, ground space availability (minimum 2.0m x 2.0m pad), line-of-sight to demand settlement centroid, road access verification (all-weather vs 4x4), and issuance of the Preliminary Candidate Evaluation Report (PCER).
• Inclusions: Desktop spatial analysis, physical on-ground hunting, 3 candidate identification, GPS logging, PCER compilation.
• Exclusions: Commercial lease execution (handled by Operator under MLA).</t>
        </is>
      </c>
      <c r="D7" s="80" t="inlineStr">
        <is>
          <t>Per Search Ring</t>
        </is>
      </c>
      <c r="E7" s="98" t="n">
        <v>103</v>
      </c>
      <c r="F7" s="98" t="n">
        <v>515</v>
      </c>
      <c r="G7" s="80" t="inlineStr">
        <is>
          <t>1x (10.3% Own-Build Basket)</t>
        </is>
      </c>
      <c r="H7" s="99" t="n"/>
      <c r="I7" s="84">
        <f>H7*55</f>
        <v/>
      </c>
      <c r="J7" s="85">
        <f>E7*H7</f>
        <v/>
      </c>
      <c r="K7" s="85">
        <f>F7*H7</f>
        <v/>
      </c>
      <c r="L7" s="96" t="inlineStr">
        <is>
          <t>Lot 5 Standby Call-Off (103 Sites Ph1 / 515 Prog)</t>
        </is>
      </c>
      <c r="M7" s="96" t="inlineStr">
        <is>
          <t>Approved Preliminary Candidate Evaluation Report (PCER)</t>
        </is>
      </c>
    </row>
    <row r="8" ht="40" customHeight="1">
      <c r="A8" s="80" t="inlineStr">
        <is>
          <t>SAQ-02</t>
        </is>
      </c>
      <c r="B8" s="96" t="inlineStr">
        <is>
          <t>Detailed Site Acquisition Report (SAR) &amp; Technical Dossier</t>
        </is>
      </c>
      <c r="C8" s="97" t="inlineStr">
        <is>
          <t>[OPERATIONAL BASELINE: TowerCo provides primary site attributes and property profile under MLA. Vendor reviews and compiles technical feasibility annex in TSSR; Operator signs off. COMMERCIAL PRICING BASIS: Standby / Contingency Call-Off Rate Card for full standalone SAR compilation during Operator Self-Acquisition]. Comprehensive on-ground site acquisition audit and property investigation for the selected primary candidate. Compilation of standardized Site Acquisition Report (SAR) containing: official PSGC code, precision WGS84 GPS coordinates (&gt;= 6 decimal places), ground elevation AMSL, property cadastral boundary sketch, certified land title verification (TCT/OCT/Tax Declaration), lessor profile and contact matrix, preliminary structural condition assessment, preliminary power availability (grid connection point, transformer distance, utility provider), 360-degree panoramic site photos, logistics route access classification, and SAQ risk assessment matrix.
• Inclusions: On-ground cadastral audit, title verification, lessor interview, 360-deg photo sweep, complete SAR package.
• Exclusions: Payment of land rental / lease deposits (direct Operator responsibility).</t>
        </is>
      </c>
      <c r="D8" s="80" t="inlineStr">
        <is>
          <t>Per Candidate Site</t>
        </is>
      </c>
      <c r="E8" s="98" t="n">
        <v>103</v>
      </c>
      <c r="F8" s="98" t="n">
        <v>515</v>
      </c>
      <c r="G8" s="80" t="inlineStr">
        <is>
          <t>1x (10.3% Own-Build Basket)</t>
        </is>
      </c>
      <c r="H8" s="99" t="n"/>
      <c r="I8" s="84">
        <f>H8*55</f>
        <v/>
      </c>
      <c r="J8" s="85">
        <f>E8*H8</f>
        <v/>
      </c>
      <c r="K8" s="85">
        <f>F8*H8</f>
        <v/>
      </c>
      <c r="L8" s="96" t="inlineStr">
        <is>
          <t>Lot 5 Standby Call-Off (103 Sites Ph1 / 515 Prog)</t>
        </is>
      </c>
      <c r="M8" s="96" t="inlineStr">
        <is>
          <t>Comprehensive Site Acquisition Report (SAR) Dossier</t>
        </is>
      </c>
    </row>
    <row r="9" ht="40" customHeight="1">
      <c r="A9" s="80" t="inlineStr">
        <is>
          <t>SAQ-03</t>
        </is>
      </c>
      <c r="B9" s="96" t="inlineStr">
        <is>
          <t>TowerCo Space Application (SAA) &amp; Technical Dossier Support</t>
        </is>
      </c>
      <c r="C9" s="97" t="inlineStr">
        <is>
          <t>[APPLIES TO TOWERCO CO-LOCATION: Preparation of technical equipment loading profile (3x 8T8R RRU, 3x Antennas, hybrid cables, 2m x 2m pad) and coordination with TowerCo engineering until SAA approval. Commercial lease executed directly by Operator under MLA]. Preparation, technical compilation, submission, and engineering follow-through of the TowerCo Space Application (SAA) package for co-location under Operator's Master Lease Agreement (MLA). Compiles exact proposed loading profile: 3x 8T8R RRU, 3x macro antennas/AAUs, antenna mounting brackets (AMB), hybrid trunk cables, DC distribution requirements, and ground plinth reservation (2.0m x 2.0m). Coordinates with TowerCo technical team during structural vetting until formal issuance of SAA Approval and Notice to Proceed (NTP).
• Inclusions: SAA documentation, loading calculation submission, liaison with TowerCo engineering, tracking SAA to NTP.
• Exclusions: Commercial MLA negotiations and monthly tower rental fees (exclusive Operator responsibility).</t>
        </is>
      </c>
      <c r="D9" s="80" t="inlineStr">
        <is>
          <t>Per Co-Location Site</t>
        </is>
      </c>
      <c r="E9" s="98" t="n">
        <v>103</v>
      </c>
      <c r="F9" s="98" t="n">
        <v>515</v>
      </c>
      <c r="G9" s="80" t="inlineStr">
        <is>
          <t>1x (10.3% Own-Build Basket)</t>
        </is>
      </c>
      <c r="H9" s="99" t="n"/>
      <c r="I9" s="84">
        <f>H9*55</f>
        <v/>
      </c>
      <c r="J9" s="85">
        <f>E9*H9</f>
        <v/>
      </c>
      <c r="K9" s="85">
        <f>F9*H9</f>
        <v/>
      </c>
      <c r="L9" s="96" t="inlineStr">
        <is>
          <t>Lot 5 Standby Call-Off (103 Sites Ph1 / 515 Prog)</t>
        </is>
      </c>
      <c r="M9" s="96" t="inlineStr">
        <is>
          <t>Approved TowerCo SAA &amp; Official Notice to Proceed (NTP)</t>
        </is>
      </c>
    </row>
    <row r="10" ht="40" customHeight="1">
      <c r="A10" s="80" t="inlineStr">
        <is>
          <t>SAQ-04</t>
        </is>
      </c>
      <c r="B10" s="96" t="inlineStr">
        <is>
          <t>Greenfield Land Lease Negotiation &amp; Notarized Contract Support</t>
        </is>
      </c>
      <c r="C10" s="97" t="inlineStr">
        <is>
          <t>[CONTINGENCY / SELF-BUILD SCOPE: Applicable strictly to Operator Own-Build Greenfield sites where no TowerCo exists or TowerCo denies build. Direct lessor negotiation, title due diligence, and lease notarization]. Direct lessor negotiations for greenfield sites: boundary survey coordination, verification of registered ownership (clean title check at Registry of Deeds, inheritance/estate verification, real property tax clearance), negotiation of long-term lease terms (10-15 years) within Operator budgetary caps, preparation of lease annexes, securing lessor spousal consent and IDs, and facilitation of formal contract notarization and annotation on title.
• Inclusions: Lessor negotiations, title due diligence, boundary verification, notary liaison, lease execution assistance.
• Exclusions: Actual lease rentals, advance deposits, and title annotation official fees (Operator pays directly).</t>
        </is>
      </c>
      <c r="D10" s="80" t="inlineStr">
        <is>
          <t>Per Greenfield Site</t>
        </is>
      </c>
      <c r="E10" s="98" t="n">
        <v>103</v>
      </c>
      <c r="F10" s="98" t="n">
        <v>515</v>
      </c>
      <c r="G10" s="80" t="inlineStr">
        <is>
          <t>1x (10.3% Own-Build Basket)</t>
        </is>
      </c>
      <c r="H10" s="99" t="n"/>
      <c r="I10" s="84">
        <f>H10*55</f>
        <v/>
      </c>
      <c r="J10" s="85">
        <f>E10*H10</f>
        <v/>
      </c>
      <c r="K10" s="85">
        <f>F10*H10</f>
        <v/>
      </c>
      <c r="L10" s="96" t="inlineStr">
        <is>
          <t>Lot 5 Standby Call-Off (103 Sites Ph1 / 515 Prog)</t>
        </is>
      </c>
      <c r="M10" s="96" t="inlineStr">
        <is>
          <t>Executed &amp; Notarized Contract of Lease + Clean Title Dossier</t>
        </is>
      </c>
    </row>
    <row r="11" ht="40" customHeight="1">
      <c r="A11" s="80" t="inlineStr">
        <is>
          <t>SAQ-05</t>
        </is>
      </c>
      <c r="B11" s="96" t="inlineStr">
        <is>
          <t>Local Community, Barangay &amp; Neighborhood Clearances</t>
        </is>
      </c>
      <c r="C11" s="97" t="inlineStr">
        <is>
          <t>[OPERATIONAL BASELINE: TowerCo secures community/Barangay clearances for TowerCo towers. COMMERCIAL PRICING BASIS: Standby / Contingency Call-Off Rate Card for Operator Self-Acquisition / Greenfield sites]. Securing official local community clearances: presentation to Barangay Council, public hearing facilitation (if mandated), processing and issuance of official Barangay Resolution of Support, Barangay Construction Clearance, and certified Neighborhood / Homeowners Association (HOA) Resolution / Certificate of No Objection from contiguous property owners within a 50-meter radius.
• Inclusions: Barangay consultations, neighbor signature campaigns, clearance filing and follow-through, official receipts.
• Exclusions: Official LGU statutory fees (reimbursable at actual cost against official receipts).</t>
        </is>
      </c>
      <c r="D11" s="80" t="inlineStr">
        <is>
          <t>Per Site</t>
        </is>
      </c>
      <c r="E11" s="98" t="n">
        <v>103</v>
      </c>
      <c r="F11" s="98" t="n">
        <v>515</v>
      </c>
      <c r="G11" s="80" t="inlineStr">
        <is>
          <t>1x (10.3% Own-Build Basket)</t>
        </is>
      </c>
      <c r="H11" s="99" t="n"/>
      <c r="I11" s="84">
        <f>H11*55</f>
        <v/>
      </c>
      <c r="J11" s="85">
        <f>E11*H11</f>
        <v/>
      </c>
      <c r="K11" s="85">
        <f>F11*H11</f>
        <v/>
      </c>
      <c r="L11" s="96" t="inlineStr">
        <is>
          <t>Lot 5 Standby Call-Off (103 Sites Ph1 / 515 Prog)</t>
        </is>
      </c>
      <c r="M11" s="96" t="inlineStr">
        <is>
          <t>Certified Barangay Clearance &amp; HOA Resolution of No Objection</t>
        </is>
      </c>
    </row>
    <row r="12" ht="40" customHeight="1">
      <c r="A12" s="80" t="inlineStr">
        <is>
          <t>SAQ-06</t>
        </is>
      </c>
      <c r="B12" s="96" t="inlineStr">
        <is>
          <t>Local Government Unit (LGU) Building &amp; Construction Permits</t>
        </is>
      </c>
      <c r="C12" s="97" t="inlineStr">
        <is>
          <t>[OPERATIONAL BASELINE: TowerCo secures LGU Building Permits under PD 1096 for TowerCo towers. COMMERCIAL PRICING BASIS: Standby / Contingency Call-Off Rate Card for Operator Self-Build Greenfield Monopoles]. Complete processing and procurement of municipal/city LGU Building Permits in accordance with the National Building Code of the Philippines (PD 1096). Scope includes securing Locational Clearance, Zoning Compliance, Architectural Permit, Civil/Structural Permit, Electrical Permit, Sanitary/Plumbing Permit, and Mechanical Permit, backed by complete sets of plans signed and sealed by licensed Professional Engineers (Civil, Structural, Electrical, PEE).
• Inclusions: Permit application filing, engineering plan liaison, follow-through across city/municipal engineering offices.
• Exclusions: Official municipal permit assessment fees (reimbursable at face value against official receipts).</t>
        </is>
      </c>
      <c r="D12" s="80" t="inlineStr">
        <is>
          <t>Per Greenfield Site / Co-loc where required</t>
        </is>
      </c>
      <c r="E12" s="98" t="n">
        <v>103</v>
      </c>
      <c r="F12" s="98" t="n">
        <v>515</v>
      </c>
      <c r="G12" s="80" t="inlineStr">
        <is>
          <t>1x (10.3% Own-Build Basket)</t>
        </is>
      </c>
      <c r="H12" s="99" t="n"/>
      <c r="I12" s="84">
        <f>H12*55</f>
        <v/>
      </c>
      <c r="J12" s="85">
        <f>E12*H12</f>
        <v/>
      </c>
      <c r="K12" s="85">
        <f>F12*H12</f>
        <v/>
      </c>
      <c r="L12" s="96" t="inlineStr">
        <is>
          <t>Lot 5 Standby Call-Off (103 Sites Ph1 / 515 Prog)</t>
        </is>
      </c>
      <c r="M12" s="96" t="inlineStr">
        <is>
          <t>Official LGU Building Permit &amp; Endorsed Blueprints</t>
        </is>
      </c>
    </row>
    <row r="13" ht="40" customHeight="1">
      <c r="A13" s="80" t="inlineStr">
        <is>
          <t>SAQ-07</t>
        </is>
      </c>
      <c r="B13" s="96" t="inlineStr">
        <is>
          <t>Statutory &amp; Environmental Clearances (CAAP, DENR, DPWH)</t>
        </is>
      </c>
      <c r="C13" s="97" t="inlineStr">
        <is>
          <t>[OPERATIONAL BASELINE: TowerCo secures CAAP Height Clearance and DENR CNC/ECC for TowerCo assets. COMMERCIAL PRICING BASIS: Standby / Contingency Call-Off Rate Card for Operator Self-Build Greenfield Monopoles]. Procurement of mandatory national statutory clearances: Civil Aviation Authority of the Philippines (CAAP) Height Clearance Permit / Obstruction Evaluation; Department of Environment and Natural Resources (DENR) Certificate of Non-Coverage (CNC) or Environmental Compliance Certificate (ECC); and Department of Public Works and Highways (DPWH) Road Right-of-Way (ROW) clearance where site access fronts national highways.
• Inclusions: Technical submittals, coordinate and elevation certification, CAAP/DENR filing and technical defense.
• Exclusions: Official statutory assessment fees (reimbursable at actual cost).</t>
        </is>
      </c>
      <c r="D13" s="80" t="inlineStr">
        <is>
          <t>Per Site</t>
        </is>
      </c>
      <c r="E13" s="98" t="n">
        <v>103</v>
      </c>
      <c r="F13" s="98" t="n">
        <v>515</v>
      </c>
      <c r="G13" s="80" t="inlineStr">
        <is>
          <t>1x (10.3% Own-Build Basket)</t>
        </is>
      </c>
      <c r="H13" s="99" t="n"/>
      <c r="I13" s="84">
        <f>H13*55</f>
        <v/>
      </c>
      <c r="J13" s="85">
        <f>E13*H13</f>
        <v/>
      </c>
      <c r="K13" s="85">
        <f>F13*H13</f>
        <v/>
      </c>
      <c r="L13" s="96" t="inlineStr">
        <is>
          <t>Lot 5 Standby Call-Off (103 Sites Ph1 / 515 Prog)</t>
        </is>
      </c>
      <c r="M13" s="96" t="inlineStr">
        <is>
          <t>Official CAAP Height Clearance Permit &amp; DENR CNC/ECC</t>
        </is>
      </c>
    </row>
    <row r="14" ht="40" customHeight="1">
      <c r="A14" s="80" t="inlineStr">
        <is>
          <t>SAQ-08</t>
        </is>
      </c>
      <c r="B14" s="96" t="inlineStr">
        <is>
          <t>Utility Interconnection, CFEI, FSIC &amp; Occupancy Permitting</t>
        </is>
      </c>
      <c r="C14" s="97" t="inlineStr">
        <is>
          <t>[OPERATIONAL BASELINE: TowerCo manages utility service entrance and meter installation on shared compound. COMMERCIAL PRICING BASIS: Standby / Contingency Call-Off Rate Card for Operator Self-Build sites]. Securing post-construction occupancy and power clearances: processing Certificate of Final Electrical Inspection (CFEI), Bureau of Fire Protection (BFP) Fire Safety Inspection Certificate (FSIC), commercial power utility (Meralco / Regional Electric Cooperative) service application, transformer tapping coordination, meter base energization, and municipal LGU Certificate of Final Occupancy / Permit to Operate.
• Inclusions: BFP inspection facilitation, CFEI filing, utility coordination, meter installation liaison, occupancy release.
• Exclusions: Utility transformer installation capital contribution and security deposits (paid by Operator).</t>
        </is>
      </c>
      <c r="D14" s="80" t="inlineStr">
        <is>
          <t>Per Site</t>
        </is>
      </c>
      <c r="E14" s="98" t="n">
        <v>103</v>
      </c>
      <c r="F14" s="98" t="n">
        <v>515</v>
      </c>
      <c r="G14" s="80" t="inlineStr">
        <is>
          <t>1x (10.3% Own-Build Basket)</t>
        </is>
      </c>
      <c r="H14" s="99" t="n"/>
      <c r="I14" s="84">
        <f>H14*55</f>
        <v/>
      </c>
      <c r="J14" s="85">
        <f>E14*H14</f>
        <v/>
      </c>
      <c r="K14" s="85">
        <f>F14*H14</f>
        <v/>
      </c>
      <c r="L14" s="96" t="inlineStr">
        <is>
          <t>Lot 5 Standby Call-Off (103 Sites Ph1 / 515 Prog)</t>
        </is>
      </c>
      <c r="M14" s="96" t="inlineStr">
        <is>
          <t>CFEI, FSIC, Utility Meter Energization Notice &amp; Certificate of Occupancy</t>
        </is>
      </c>
    </row>
    <row r="15" ht="24" customHeight="1">
      <c r="A15" s="95" t="inlineStr">
        <is>
          <t>DOMAIN: SITE ENGINEERING &amp; DETAILED SITE SURVEY</t>
        </is>
      </c>
    </row>
    <row r="16" ht="40" customHeight="1">
      <c r="A16" s="80" t="inlineStr">
        <is>
          <t>ENG-01</t>
        </is>
      </c>
      <c r="B16" s="96" t="inlineStr">
        <is>
          <t>Technical Site Survey (TSS) &amp; 360° Drone Panoramic Audit</t>
        </is>
      </c>
      <c r="C16" s="97" t="inlineStr">
        <is>
          <t>Rigorous multi-disciplinary physical site survey executed by licensed telecom and civil engineers: 360° high-resolution panoramic photographic sweep at target antenna centerline (using calibrated drone or mast camera); precision dual-frequency GPS coordinate recording; physical measurement of compound dimensions, tower base, shelter/cabinet footprint; cable gantry routing audit; transport access route assessment (bridge load limits, tight turning radii); and compilation of raw TSS data.
• Inclusions: Multi-disciplinary field team, calibrated drone flight, 360-deg panoramic photos, spatial sketches, access log.
• Exclusions: Tower climbing above 60m (requires separate high-mast specialized rigging permit if applicable).</t>
        </is>
      </c>
      <c r="D16" s="80" t="inlineStr">
        <is>
          <t>Per Site</t>
        </is>
      </c>
      <c r="E16" s="98" t="n">
        <v>1000</v>
      </c>
      <c r="F16" s="98" t="n">
        <v>5000</v>
      </c>
      <c r="G16" s="80" t="inlineStr">
        <is>
          <t>1x (Turnkey Rollout)</t>
        </is>
      </c>
      <c r="H16" s="99" t="n"/>
      <c r="I16" s="84">
        <f>H16*55</f>
        <v/>
      </c>
      <c r="J16" s="85">
        <f>E16*H16</f>
        <v/>
      </c>
      <c r="K16" s="85">
        <f>F16*H16</f>
        <v/>
      </c>
      <c r="L16" s="96" t="inlineStr">
        <is>
          <t>Lot 5 Turnkey Rollout Baseline</t>
        </is>
      </c>
      <c r="M16" s="96" t="inlineStr">
        <is>
          <t>Raw TSS Survey Package &amp; High-Resolution 360° Panoramic Photo Suite</t>
        </is>
      </c>
    </row>
    <row r="17" ht="40" customHeight="1">
      <c r="A17" s="80" t="inlineStr">
        <is>
          <t>ENG-02</t>
        </is>
      </c>
      <c r="B17" s="96" t="inlineStr">
        <is>
          <t>Site Structural Audit, Antenna Loading Verification &amp; Own-Build Structural Engineering</t>
        </is>
      </c>
      <c r="C17" s="97" t="inlineStr">
        <is>
          <t>Engineering structural evaluation of the host structure: [OPERATIONAL BASELINE — TIER 1 CO-LOCATION &amp; TIER 2 B2S: Under MLA, TowerCo conducts 3D structural analysis, TIA-222-H wind modeling, foundation verification, and secures the licensed PE wet-seal certification per Appendix D §1.3 and Bid Bulletin 01 Huawei Item 13. Vendor scope is strictly limited to physical audit of existing mounts, active equipment loading profile calculation (weight, EPA, mounting dimensions for 3x 8T8R RRU, 3x macro antennas/AAUs, AMB brackets, hybrid trunk cable), and mounting interface verification. STANDBY BASELINE — TIER 3 OPERATOR OWN-BUILD: Vendor provides full turnkey 3D finite-element structural wind loading simulation based on TIA-222-H / NSCP 2015 site-specific basic wind speed (250 km/h to 315 km/h, Category 5 typhoon standard), foundation capacity verification, and formal Structural Analysis Report wet-sealed by a licensed Philippine Professional Civil/Structural Engineer].
• Inclusions: Physical mount audit, active equipment EPA/weight loading dossier, interface sign-off; (for Tier 3 Own-Build: full 250-315 km/h TIA-222-H wind modeling, foundation check, licensed PE wet-seal).
• Exclusions: Tower reinforcement civil execution (governed by separate structural modification call-out rate card CALL-06); TowerCo structural analysis on leased towers (TowerCo MLA scope).</t>
        </is>
      </c>
      <c r="D17" s="80" t="inlineStr">
        <is>
          <t>Per Site</t>
        </is>
      </c>
      <c r="E17" s="98" t="n">
        <v>1000</v>
      </c>
      <c r="F17" s="98" t="n">
        <v>5000</v>
      </c>
      <c r="G17" s="80" t="inlineStr">
        <is>
          <t>1x (Turnkey Rollout)</t>
        </is>
      </c>
      <c r="H17" s="99" t="n"/>
      <c r="I17" s="84">
        <f>H17*55</f>
        <v/>
      </c>
      <c r="J17" s="85">
        <f>E17*H17</f>
        <v/>
      </c>
      <c r="K17" s="85">
        <f>F17*H17</f>
        <v/>
      </c>
      <c r="L17" s="96" t="inlineStr">
        <is>
          <t>Lot 5 Turnkey Rollout Baseline</t>
        </is>
      </c>
      <c r="M17" s="96" t="inlineStr">
        <is>
          <t>Certified Structural Loading Dossier &amp; Mount Endorsement / PE-Signed SAR (Tier 3 Own-Build)</t>
        </is>
      </c>
    </row>
    <row r="18" ht="40" customHeight="1">
      <c r="A18" s="80" t="inlineStr">
        <is>
          <t>ENG-03</t>
        </is>
      </c>
      <c r="B18" s="96" t="inlineStr">
        <is>
          <t>Electrical, DC Power &amp; Earth Grounding Engineering Assessment</t>
        </is>
      </c>
      <c r="C18" s="97" t="inlineStr">
        <is>
          <t>Electrical engineering audit of commercial AC utility power and DC power plant: inspection of transformer capacity (kVA), service entrance voltage, phase balance, AC main breaker rating; assessment of existing DC power plant (rectifier total capacity, SMPS controller, available DC branch breakers &gt;= 63A for new radio load); calculation of LiFePO4 battery autonomy (minimum 4.0h @ 3.0 kW load, &lt;= 80% DoD); and 3-point fall-of-potential earth resistance measurement of the grounding grid, mandating &lt;= 5.0 Ohms pursuant to Philippine Electrical Code (PEC) and TelTech engineering specifications.
• Inclusions: Commercial power audit, DC rectifier capacity calculation, battery autonomy simulation, 3-point earth test.
• Exclusions: Major utility transformer upgrades (handled under utility capex contribution).</t>
        </is>
      </c>
      <c r="D18" s="80" t="inlineStr">
        <is>
          <t>Per Site</t>
        </is>
      </c>
      <c r="E18" s="98" t="n">
        <v>1000</v>
      </c>
      <c r="F18" s="98" t="n">
        <v>5000</v>
      </c>
      <c r="G18" s="80" t="inlineStr">
        <is>
          <t>1x (Turnkey Rollout)</t>
        </is>
      </c>
      <c r="H18" s="99" t="n"/>
      <c r="I18" s="84">
        <f>H18*55</f>
        <v/>
      </c>
      <c r="J18" s="85">
        <f>E18*H18</f>
        <v/>
      </c>
      <c r="K18" s="85">
        <f>F18*H18</f>
        <v/>
      </c>
      <c r="L18" s="96" t="inlineStr">
        <is>
          <t>Lot 5 Turnkey Rollout Baseline</t>
        </is>
      </c>
      <c r="M18" s="96" t="inlineStr">
        <is>
          <t>Electrical, Power &amp; Grounding Engineering Assessment Report</t>
        </is>
      </c>
    </row>
    <row r="19" ht="40" customHeight="1">
      <c r="A19" s="80" t="inlineStr">
        <is>
          <t>ENG-04</t>
        </is>
      </c>
      <c r="B19" s="96" t="inlineStr">
        <is>
          <t>RF Engineering Siting, Line-of-Sight (LOS) &amp; Clutter Assessment</t>
        </is>
      </c>
      <c r="C19" s="97" t="inlineStr">
        <is>
          <t>On-site RF validation of nominal design coverage over target barangay demand centroid: physical line-of-sight (LOS) inspection at proposed antenna centerlines (30m, 35m, 40m AGL); clutter height and foliage density classification; identification of close-in obstructions within 200m of sector azimuths (0°, 120°, 240°); calculation of first Fresnel zone clearance; and field verification that simulated coverage will achieve target cell-edge RSRP &gt;= -95 dBm and SINR &gt;= 6 dB.
• Inclusions: On-ground visual LOS audit, clutter verification, azimuth clearance check, RF siting validation report.
• Exclusions: Continuous cluster drive test (governed under Lot 5 Scope RNO-01).</t>
        </is>
      </c>
      <c r="D19" s="80" t="inlineStr">
        <is>
          <t>Per Site</t>
        </is>
      </c>
      <c r="E19" s="98" t="n">
        <v>1000</v>
      </c>
      <c r="F19" s="98" t="n">
        <v>5000</v>
      </c>
      <c r="G19" s="80" t="inlineStr">
        <is>
          <t>1x (Turnkey Rollout)</t>
        </is>
      </c>
      <c r="H19" s="99" t="n"/>
      <c r="I19" s="84">
        <f>H19*55</f>
        <v/>
      </c>
      <c r="J19" s="85">
        <f>E19*H19</f>
        <v/>
      </c>
      <c r="K19" s="85">
        <f>F19*H19</f>
        <v/>
      </c>
      <c r="L19" s="96" t="inlineStr">
        <is>
          <t>Lot 5 Turnkey Rollout Baseline</t>
        </is>
      </c>
      <c r="M19" s="96" t="inlineStr">
        <is>
          <t>RF Siting &amp; Line-of-Sight (LOS) Clearance Report</t>
        </is>
      </c>
    </row>
    <row r="20" ht="40" customHeight="1">
      <c r="A20" s="80" t="inlineStr">
        <is>
          <t>ENG-05</t>
        </is>
      </c>
      <c r="B20" s="96" t="inlineStr">
        <is>
          <t>Detailed Engineering Design (DED) &amp; Technical Site Survey Report (TSSR)</t>
        </is>
      </c>
      <c r="C20" s="97" t="inlineStr">
        <is>
          <t>Consolidation of multidisciplinary survey data into a complete Detailed Engineering Design (DED) blueprint package and Technical Site Survey Report (TSSR): Architectural Site Layout Plan; Tower Elevation &amp; Antenna Orientation Plan; Antenna Mounting Bracket (AMB) Fabrication Details; Cable Ladder, Gantry &amp; Cable Tray Routing Plan; Electrical Single Line Diagram (SLD); Earth Grounding Ring &amp; Lightning Protection Layout; Site Bill of Quantities (BoQ); and formal endorsement by licensed Professional Engineers (PE-Civil/Structural, PE-Electrical, PECE-Electronics) conforming to NBCP and PEC.
• Inclusions: AutoCAD DED drawings, multi-PE signed &amp; sealed plans, BoQ compilation, full TSSR dossier submission.
• Exclusions: Structural redesigns necessitated by Operator-mandated changes to nominal search ring after survey approval.</t>
        </is>
      </c>
      <c r="D20" s="80" t="inlineStr">
        <is>
          <t>Per Site</t>
        </is>
      </c>
      <c r="E20" s="98" t="n">
        <v>1000</v>
      </c>
      <c r="F20" s="98" t="n">
        <v>5000</v>
      </c>
      <c r="G20" s="80" t="inlineStr">
        <is>
          <t>1x (Turnkey Rollout)</t>
        </is>
      </c>
      <c r="H20" s="99" t="n"/>
      <c r="I20" s="84">
        <f>H20*55</f>
        <v/>
      </c>
      <c r="J20" s="85">
        <f>E20*H20</f>
        <v/>
      </c>
      <c r="K20" s="85">
        <f>F20*H20</f>
        <v/>
      </c>
      <c r="L20" s="96" t="inlineStr">
        <is>
          <t>Lot 5 Turnkey Rollout Baseline</t>
        </is>
      </c>
      <c r="M20" s="96" t="inlineStr">
        <is>
          <t>Approved TSSR Dossier with PE Signed &amp; Sealed CAD Blueprints</t>
        </is>
      </c>
    </row>
    <row r="21" ht="40" customHeight="1">
      <c r="A21" s="80" t="inlineStr">
        <is>
          <t>ENG-06</t>
        </is>
      </c>
      <c r="B21" s="96" t="inlineStr">
        <is>
          <t>As-Built Engineering Documentation &amp; Final Completion Dossier</t>
        </is>
      </c>
      <c r="C21" s="97" t="inlineStr">
        <is>
          <t>Comprehensive post-construction field engineering audit capturing all redline installation adjustments: updating AutoCAD drawings to reflect exact as-built antenna heights, azimuths, mechanical tilts, optical cable routes, rack layouts, breaker allocations, and grounding busbar termination points; compiling comprehensive photographic completion book (minimum 50 high-res timestamped photos per site); and securing final Professional Engineer endorsement.
• Inclusions: Field redline audit, final CAD as-built drawings (DWG &amp; PDF), photographic completion book, PE endorsement.
• Exclusions: Routine operational documentation updates post-commercial acceptance.</t>
        </is>
      </c>
      <c r="D21" s="80" t="inlineStr">
        <is>
          <t>Per Site</t>
        </is>
      </c>
      <c r="E21" s="98" t="n">
        <v>1000</v>
      </c>
      <c r="F21" s="98" t="n">
        <v>5000</v>
      </c>
      <c r="G21" s="80" t="inlineStr">
        <is>
          <t>1x (Turnkey Rollout)</t>
        </is>
      </c>
      <c r="H21" s="99" t="n"/>
      <c r="I21" s="84">
        <f>H21*55</f>
        <v/>
      </c>
      <c r="J21" s="85">
        <f>E21*H21</f>
        <v/>
      </c>
      <c r="K21" s="85">
        <f>F21*H21</f>
        <v/>
      </c>
      <c r="L21" s="96" t="inlineStr">
        <is>
          <t>Lot 5 Turnkey Rollout Baseline</t>
        </is>
      </c>
      <c r="M21" s="96" t="inlineStr">
        <is>
          <t>Final As-Built CAD Drawings (DWG &amp; PDF) + Photographic Completion Book</t>
        </is>
      </c>
    </row>
    <row r="22" ht="24" customHeight="1">
      <c r="A22" s="95" t="inlineStr">
        <is>
          <t>DOMAIN: RADIO NETWORK PLANNING &amp; DESIGN</t>
        </is>
      </c>
    </row>
    <row r="23" ht="40" customHeight="1">
      <c r="A23" s="80" t="inlineStr">
        <is>
          <t>RNPD-01</t>
        </is>
      </c>
      <c r="B23" s="96" t="inlineStr">
        <is>
          <t>Macro RF Nominal Planning &amp; 3D Propagation Modeling</t>
        </is>
      </c>
      <c r="C23" s="97" t="inlineStr">
        <is>
          <t>Macro-level 5G RF network planning using advanced 3D ray-tracing propagation modeling engines, calibrated against high-resolution 5-meter clutter models and Digital Terrain Models (DTM). Sizing and generation of nominal candidate search rings across high-density suburban and rural barangay centroids; multi-carrier capacity dimensioning for Band n50 (60 MHz NCR / up to 80 MHz Provincial, Software-Configurable 40/50/60/80 MHz TDD); coverage prediction mapping (RSRP, SINR, Best Server, Downlink/Uplink Throughput); and inter-site distance (ISD) optimization.
• Inclusions: 3D ray-tracing simulation, clutter model calibration, nominal site planning, search ring generation.
• Exclusions: Procurement of specialized external digital terrain data licenses (provided by Operator).</t>
        </is>
      </c>
      <c r="D23" s="80" t="inlineStr">
        <is>
          <t>Per Site</t>
        </is>
      </c>
      <c r="E23" s="98" t="n">
        <v>1000</v>
      </c>
      <c r="F23" s="98" t="n">
        <v>5000</v>
      </c>
      <c r="G23" s="80" t="inlineStr">
        <is>
          <t>1x (Turnkey Rollout)</t>
        </is>
      </c>
      <c r="H23" s="99" t="n"/>
      <c r="I23" s="84">
        <f>H23*55</f>
        <v/>
      </c>
      <c r="J23" s="85">
        <f>E23*H23</f>
        <v/>
      </c>
      <c r="K23" s="85">
        <f>F23*H23</f>
        <v/>
      </c>
      <c r="L23" s="96" t="inlineStr">
        <is>
          <t>Lot 5 Turnkey Rollout Baseline</t>
        </is>
      </c>
      <c r="M23" s="96" t="inlineStr">
        <is>
          <t>Nominal RF Network Design Package &amp; Ray-Tracing Simulation Dossier</t>
        </is>
      </c>
    </row>
    <row r="24" ht="40" customHeight="1">
      <c r="A24" s="80" t="inlineStr">
        <is>
          <t>RNPD-02</t>
        </is>
      </c>
      <c r="B24" s="96" t="inlineStr">
        <is>
          <t>Cell Design Data (CDD) Engineering &amp; Parameter Allocation</t>
        </is>
      </c>
      <c r="C24" s="97" t="inlineStr">
        <is>
          <t>Engineering, generation, and validation of detailed site-specific Cell Design Data (CDD) sheets: cell naming taxonomy, gNodeB IDs, Physical Cell ID (PCI) planning adhering to modulo-3 and modulo-30 collision rules, Root Sequence Index (RSI), Tracking Area Codes (TAC), Neighbor Cell Lists (NCL / ANR), PRACH configuration, absolute radio-frequency channel numbers (ARFCN), per-carrier transmit power, and antenna configuration parameters (azimuth, mechanical tilt, eRET ranges).
• Inclusions: CDD parameter engineering, PCI planning, neighbor list generation, configuration script generation.
• Exclusions: Core network routing configuration (handled under Lot 3).</t>
        </is>
      </c>
      <c r="D24" s="80" t="inlineStr">
        <is>
          <t>Per Site</t>
        </is>
      </c>
      <c r="E24" s="98" t="n">
        <v>1000</v>
      </c>
      <c r="F24" s="98" t="n">
        <v>5000</v>
      </c>
      <c r="G24" s="80" t="inlineStr">
        <is>
          <t>1x (Turnkey Rollout)</t>
        </is>
      </c>
      <c r="H24" s="99" t="n"/>
      <c r="I24" s="84">
        <f>H24*55</f>
        <v/>
      </c>
      <c r="J24" s="85">
        <f>E24*H24</f>
        <v/>
      </c>
      <c r="K24" s="85">
        <f>F24*H24</f>
        <v/>
      </c>
      <c r="L24" s="96" t="inlineStr">
        <is>
          <t>Lot 5 Turnkey Rollout Baseline</t>
        </is>
      </c>
      <c r="M24" s="96" t="inlineStr">
        <is>
          <t>Approved Cell Design Data (CDD) Sheet &amp; Parameter Script</t>
        </is>
      </c>
    </row>
    <row r="25" ht="24" customHeight="1">
      <c r="A25" s="95" t="inlineStr">
        <is>
          <t>DOMAIN: TELECOM LOGISTICS &amp; MATERIAL HANDLING</t>
        </is>
      </c>
    </row>
    <row r="26" ht="40" customHeight="1">
      <c r="A26" s="80" t="inlineStr">
        <is>
          <t>LOG-01</t>
        </is>
      </c>
      <c r="B26" s="96" t="inlineStr">
        <is>
          <t>Central &amp; Regional Warehousing, Buffer Staging &amp; Serialized Asset Tagging</t>
        </is>
      </c>
      <c r="C26" s="97" t="inlineStr">
        <is>
          <t>Receipt of OEM shipments at Port of Manila / Batangas; bonded climate-controlled warehousing in central Mega Manila and regional hubs (North Luzon, South Luzon, Visayas, Mindanao); unboxing, physical inspection, and QA damage checking; barcode asset tagging at serial-number level; updating Operator ERP/WMS inventory records; and maintaining segregated buffer stock.
• Inclusions: Warehouse facility, security, ERP tracking, barcode tagging, climate control, buffer stock management.
• Exclusions: Port customs duties and VAT taxes (direct Operator responsibility).</t>
        </is>
      </c>
      <c r="D26" s="80" t="inlineStr">
        <is>
          <t>Per Site</t>
        </is>
      </c>
      <c r="E26" s="98" t="n">
        <v>1000</v>
      </c>
      <c r="F26" s="98" t="n">
        <v>5000</v>
      </c>
      <c r="G26" s="80" t="inlineStr">
        <is>
          <t>1x (Turnkey Rollout)</t>
        </is>
      </c>
      <c r="H26" s="99" t="n"/>
      <c r="I26" s="84">
        <f>H26*55</f>
        <v/>
      </c>
      <c r="J26" s="85">
        <f>E26*H26</f>
        <v/>
      </c>
      <c r="K26" s="85">
        <f>F26*H26</f>
        <v/>
      </c>
      <c r="L26" s="96" t="inlineStr">
        <is>
          <t>Lot 5 Turnkey Rollout Baseline</t>
        </is>
      </c>
      <c r="M26" s="96" t="inlineStr">
        <is>
          <t>Serialized Inventory Receiving Report &amp; Barcode Registry</t>
        </is>
      </c>
    </row>
    <row r="27" ht="40" customHeight="1">
      <c r="A27" s="80" t="inlineStr">
        <is>
          <t>LOG-02</t>
        </is>
      </c>
      <c r="B27" s="96" t="inlineStr">
        <is>
          <t>Site BOM Kitting, Staging &amp; Pre-Assembly Services</t>
        </is>
      </c>
      <c r="C27" s="97" t="inlineStr">
        <is>
          <t>Assembly and kitting of site-specific deployment packages: picking 1x BBU, 3x 8T8R RRUs, 3x macro antennas/AAUs, optical patchcords, DC power cables, Type 2 SPDs, grounding kits, and hardware accessories; pre-cutting cable lengths based on approved TSSR; labeling; staging in protective crates; and performing bench test pre-checks and firmware pre-flashing.
• Inclusions: Picking, staging, pre-cutting cables, labeling, firmware pre-flashing, packaging into site kits.
• Exclusions: Supply of missing OEM radio equipment (OEM responsibility).</t>
        </is>
      </c>
      <c r="D27" s="80" t="inlineStr">
        <is>
          <t>Per Site</t>
        </is>
      </c>
      <c r="E27" s="98" t="n">
        <v>1000</v>
      </c>
      <c r="F27" s="98" t="n">
        <v>5000</v>
      </c>
      <c r="G27" s="80" t="inlineStr">
        <is>
          <t>1x (Turnkey Rollout)</t>
        </is>
      </c>
      <c r="H27" s="99" t="n"/>
      <c r="I27" s="84">
        <f>H27*55</f>
        <v/>
      </c>
      <c r="J27" s="85">
        <f>E27*H27</f>
        <v/>
      </c>
      <c r="K27" s="85">
        <f>F27*H27</f>
        <v/>
      </c>
      <c r="L27" s="96" t="inlineStr">
        <is>
          <t>Lot 5 Turnkey Rollout Baseline</t>
        </is>
      </c>
      <c r="M27" s="96" t="inlineStr">
        <is>
          <t>Site BOM Kitting Slip &amp; Staging Inspection Checklist</t>
        </is>
      </c>
    </row>
    <row r="28" ht="40" customHeight="1">
      <c r="A28" s="80" t="inlineStr">
        <is>
          <t>LOG-03</t>
        </is>
      </c>
      <c r="B28" s="96" t="inlineStr">
        <is>
          <t>Regional Transport &amp; Final-Mile Rough-Road Site Hauling</t>
        </is>
      </c>
      <c r="C28" s="97" t="inlineStr">
        <is>
          <t>Transportation from central warehouse to regional hubs via heavy freight, followed by dedicated final-mile transport to remote barangay site locations utilizing heavy-duty 4x4 trucks, motorized bancas/barges (for island sites), or manual porterage across unpaved rough-road terrain; comprehensive in-transit cargo insurance; and on-site offloading.
• Inclusions: Long-haul freight, final-mile 4x4 hauling, manual porterage, transit insurance, on-site offloading.
• Exclusions: Helicopter airlifts (applicable only under extraordinary force majeure call-out).</t>
        </is>
      </c>
      <c r="D28" s="80" t="inlineStr">
        <is>
          <t>Per Site</t>
        </is>
      </c>
      <c r="E28" s="98" t="n">
        <v>1000</v>
      </c>
      <c r="F28" s="98" t="n">
        <v>5000</v>
      </c>
      <c r="G28" s="80" t="inlineStr">
        <is>
          <t>1x (Turnkey Rollout)</t>
        </is>
      </c>
      <c r="H28" s="99" t="n"/>
      <c r="I28" s="84">
        <f>H28*55</f>
        <v/>
      </c>
      <c r="J28" s="85">
        <f>E28*H28</f>
        <v/>
      </c>
      <c r="K28" s="85">
        <f>F28*H28</f>
        <v/>
      </c>
      <c r="L28" s="96" t="inlineStr">
        <is>
          <t>Lot 5 Turnkey Rollout Baseline</t>
        </is>
      </c>
      <c r="M28" s="96" t="inlineStr">
        <is>
          <t>Signed Material Receiving Report (MRR) by on-site supervisor</t>
        </is>
      </c>
    </row>
    <row r="29" ht="24" customHeight="1">
      <c r="A29" s="95" t="inlineStr">
        <is>
          <t>DOMAIN: TELECOM INSTALLATION, COMMISSIONING &amp; INTEGRATION</t>
        </is>
      </c>
    </row>
    <row r="30" ht="40" customHeight="1">
      <c r="A30" s="80" t="inlineStr">
        <is>
          <t>TI-01</t>
        </is>
      </c>
      <c r="B30" s="96" t="inlineStr">
        <is>
          <t>Tower Rigging &amp; Mechanical Antenna / RRU Installation</t>
        </is>
      </c>
      <c r="C30" s="97" t="inlineStr">
        <is>
          <t>Mechanical mounting by certified riggers: hoisting and installing 3x macro high-gain antennas and 3x 8T8R RRUs on tower antenna mounting brackets (AMB) at specified AGL centerlines (30m to 45m); setting precise mechanical downtilt and sector azimuths (0°, 120°, 240°) using calibrated digital inclinometers and compasses; and installing AISG 2.0 eRET control cables.
• Inclusions: Tower rigging crews, safety equipment, hoisting gear, AMB mounting, antenna and RRU installation.
• Exclusions: Supply of steel antenna mounting brackets (AMB) (governed under Lot 1 hardware).</t>
        </is>
      </c>
      <c r="D30" s="80" t="inlineStr">
        <is>
          <t>Per Site</t>
        </is>
      </c>
      <c r="E30" s="98" t="n">
        <v>1000</v>
      </c>
      <c r="F30" s="98" t="n">
        <v>5000</v>
      </c>
      <c r="G30" s="80" t="inlineStr">
        <is>
          <t>1x (Turnkey Rollout)</t>
        </is>
      </c>
      <c r="H30" s="99" t="n"/>
      <c r="I30" s="84">
        <f>H30*55</f>
        <v/>
      </c>
      <c r="J30" s="85">
        <f>E30*H30</f>
        <v/>
      </c>
      <c r="K30" s="85">
        <f>F30*H30</f>
        <v/>
      </c>
      <c r="L30" s="96" t="inlineStr">
        <is>
          <t>Lot 5 Turnkey Rollout Baseline</t>
        </is>
      </c>
      <c r="M30" s="96" t="inlineStr">
        <is>
          <t>Mechanical Rigging &amp; Antenna Alignment Inspection Sheet</t>
        </is>
      </c>
    </row>
    <row r="31" ht="40" customHeight="1">
      <c r="A31" s="80" t="inlineStr">
        <is>
          <t>TI-02</t>
        </is>
      </c>
      <c r="B31" s="96" t="inlineStr">
        <is>
          <t>RF, Optical Fiber &amp; DC Power Cabling Installation</t>
        </is>
      </c>
      <c r="C31" s="97" t="inlineStr">
        <is>
          <t>Routing, fastening, and dressing armored multi-core optical fiber jumpers and DC power cables along tower cable ladders and horizontal gantries; installing cold-shrink weatherproof boots on all 7/16 DIN or 4.3-10 RF connectors; installing Type 2 DC Surge Protection Devices (SPD) at tower top and base; and bonding 3-point grounding kits to the external ground busbar.
• Inclusions: Cable routing, cleating, hydraulic crimping, weatherproofing, SPD installation, grounding bond.
• Exclusions: Internal civil cabling of third-party shelters.</t>
        </is>
      </c>
      <c r="D31" s="80" t="inlineStr">
        <is>
          <t>Per Site</t>
        </is>
      </c>
      <c r="E31" s="98" t="n">
        <v>1000</v>
      </c>
      <c r="F31" s="98" t="n">
        <v>5000</v>
      </c>
      <c r="G31" s="80" t="inlineStr">
        <is>
          <t>1x (Turnkey Rollout)</t>
        </is>
      </c>
      <c r="H31" s="99" t="n"/>
      <c r="I31" s="84">
        <f>H31*55</f>
        <v/>
      </c>
      <c r="J31" s="85">
        <f>E31*H31</f>
        <v/>
      </c>
      <c r="K31" s="85">
        <f>F31*H31</f>
        <v/>
      </c>
      <c r="L31" s="96" t="inlineStr">
        <is>
          <t>Lot 5 Turnkey Rollout Baseline</t>
        </is>
      </c>
      <c r="M31" s="96" t="inlineStr">
        <is>
          <t>Cabling Installation &amp; Weatherproofing Quality Checklist</t>
        </is>
      </c>
    </row>
    <row r="32" ht="40" customHeight="1">
      <c r="A32" s="80" t="inlineStr">
        <is>
          <t>TI-03</t>
        </is>
      </c>
      <c r="B32" s="96" t="inlineStr">
        <is>
          <t>Baseband Unit (BBU) Installation &amp; Cabinet Wiring</t>
        </is>
      </c>
      <c r="C32" s="97" t="inlineStr">
        <is>
          <t>19" rack installation of 5G Baseband Unit (BBU) in outdoor equipment cabinet or shelter; dual -48V DC power wiring to dedicated distribution breakers; routing backhaul transmission optical patchcords to fiber demarcation router; and installing GNSS/GPS antenna and surge arrester with unobstructed sky view for PTP/SyncE clock synchronization.
• Inclusions: Rack mounting, DC wiring, optical patchcord routing, GPS antenna installation, labeling.
• Exclusions: Supply of DC rectifier plant (governed under Lot 2).</t>
        </is>
      </c>
      <c r="D32" s="80" t="inlineStr">
        <is>
          <t>Per Site</t>
        </is>
      </c>
      <c r="E32" s="98" t="n">
        <v>1000</v>
      </c>
      <c r="F32" s="98" t="n">
        <v>5000</v>
      </c>
      <c r="G32" s="80" t="inlineStr">
        <is>
          <t>1x (Turnkey Rollout)</t>
        </is>
      </c>
      <c r="H32" s="99" t="n"/>
      <c r="I32" s="84">
        <f>H32*55</f>
        <v/>
      </c>
      <c r="J32" s="85">
        <f>E32*H32</f>
        <v/>
      </c>
      <c r="K32" s="85">
        <f>F32*H32</f>
        <v/>
      </c>
      <c r="L32" s="96" t="inlineStr">
        <is>
          <t>Lot 5 Turnkey Rollout Baseline</t>
        </is>
      </c>
      <c r="M32" s="96" t="inlineStr">
        <is>
          <t>BBU Installation &amp; Cabinet Wiring Verification Sheet</t>
        </is>
      </c>
    </row>
    <row r="33" ht="40" customHeight="1">
      <c r="A33" s="80" t="inlineStr">
        <is>
          <t>TI-04</t>
        </is>
      </c>
      <c r="B33" s="96" t="inlineStr">
        <is>
          <t>Telecom Commissioning, Sweep Testing &amp; Power-Up</t>
        </is>
      </c>
      <c r="C33" s="97" t="inlineStr">
        <is>
          <t>DC power turn-up, voltage and polarity verification; firmware loading and diagnostic testing; optical transceiver Rx/Tx power level verification; and calibrated RF sweep testing measuring Return Loss (&gt;= 16.5 dB) and VSWR (&lt;= 1.35:1) across all antenna ports and jumpers using a calibrated SiteMaster analyzer.
• Inclusions: Commissioning turn-up, firmware loading, optical power check, VSWR sweep testing, test trace logs.
• Exclusions: Rectification of OEM internal hardware manufacturing defects (OEM warranty scope).</t>
        </is>
      </c>
      <c r="D33" s="80" t="inlineStr">
        <is>
          <t>Per Site</t>
        </is>
      </c>
      <c r="E33" s="98" t="n">
        <v>1000</v>
      </c>
      <c r="F33" s="98" t="n">
        <v>5000</v>
      </c>
      <c r="G33" s="80" t="inlineStr">
        <is>
          <t>1x (Turnkey Rollout)</t>
        </is>
      </c>
      <c r="H33" s="99" t="n"/>
      <c r="I33" s="84">
        <f>H33*55</f>
        <v/>
      </c>
      <c r="J33" s="85">
        <f>E33*H33</f>
        <v/>
      </c>
      <c r="K33" s="85">
        <f>F33*H33</f>
        <v/>
      </c>
      <c r="L33" s="96" t="inlineStr">
        <is>
          <t>Lot 5 Turnkey Rollout Baseline</t>
        </is>
      </c>
      <c r="M33" s="96" t="inlineStr">
        <is>
          <t>Commissioning Test Log &amp; VSWR/Return Loss Sweep Traces</t>
        </is>
      </c>
    </row>
    <row r="34" ht="40" customHeight="1">
      <c r="A34" s="80" t="inlineStr">
        <is>
          <t>TI-05</t>
        </is>
      </c>
      <c r="B34" s="96" t="inlineStr">
        <is>
          <t>gNodeB Network Integration &amp; OSS Commercial On-Air</t>
        </is>
      </c>
      <c r="C34" s="97" t="inlineStr">
        <is>
          <t>Transmission IP integration (VLAN, BGP, IPsec); establishing S1-U / N2/N3 control and user plane interfaces to 5G Core (AMF/UPF); synchronization with TelTech EMS/OSS; activating 3 sectors on Band n50 (60 MHz NCR / up to 80 MHz Provincial, Software-Configurable 40/50/60/80 MHz TDD); clearing all active alarms; and achieving stable commercial on-air operational state.
• Inclusions: IP configuration, Core integration, OSS synchronization, carrier activation, alarm clearance.
• Exclusions: Core network UPF dimensioning (governed under Lot 3).</t>
        </is>
      </c>
      <c r="D34" s="80" t="inlineStr">
        <is>
          <t>Per Site</t>
        </is>
      </c>
      <c r="E34" s="98" t="n">
        <v>1000</v>
      </c>
      <c r="F34" s="98" t="n">
        <v>5000</v>
      </c>
      <c r="G34" s="80" t="inlineStr">
        <is>
          <t>1x (Turnkey Rollout)</t>
        </is>
      </c>
      <c r="H34" s="99" t="n"/>
      <c r="I34" s="84">
        <f>H34*55</f>
        <v/>
      </c>
      <c r="J34" s="85">
        <f>E34*H34</f>
        <v/>
      </c>
      <c r="K34" s="85">
        <f>F34*H34</f>
        <v/>
      </c>
      <c r="L34" s="96" t="inlineStr">
        <is>
          <t>Lot 5 Turnkey Rollout Baseline</t>
        </is>
      </c>
      <c r="M34" s="96" t="inlineStr">
        <is>
          <t>Commercial On-Air Certificate &amp; OSS Alarm-Free Screenshot</t>
        </is>
      </c>
    </row>
    <row r="35" ht="24" customHeight="1">
      <c r="A35" s="95" t="inlineStr">
        <is>
          <t>DOMAIN: SINGLE SITE VERIFICATION &amp; ACCEPTANCE</t>
        </is>
      </c>
    </row>
    <row r="36" ht="40" customHeight="1">
      <c r="A36" s="80" t="inlineStr">
        <is>
          <t>ACC-01</t>
        </is>
      </c>
      <c r="B36" s="96" t="inlineStr">
        <is>
          <t>Mechanical, Civil &amp; Electrical Site Acceptance (ATP-A)</t>
        </is>
      </c>
      <c r="C36" s="97" t="inlineStr">
        <is>
          <t>Joint physical on-site inspection: verifying bolt torque marks on tower mounts, cable ladder fastening, cable tray grounding, weatherproofing seal integrity, electrical breaker labeling, 3-point earth ground resistance audit (confirming &lt;= 5.0 Ohms), compound housekeeping, and punchlist compilation and clearance.
• Inclusions: Joint physical audit, torque inspection, grounding verification, punchlist clearance.
• Exclusions: Radio performance verification (covered under ATP-B and SSV).</t>
        </is>
      </c>
      <c r="D36" s="80" t="inlineStr">
        <is>
          <t>Per Site</t>
        </is>
      </c>
      <c r="E36" s="98" t="n">
        <v>1000</v>
      </c>
      <c r="F36" s="98" t="n">
        <v>5000</v>
      </c>
      <c r="G36" s="80" t="inlineStr">
        <is>
          <t>1x (Turnkey Rollout)</t>
        </is>
      </c>
      <c r="H36" s="99" t="n"/>
      <c r="I36" s="84">
        <f>H36*55</f>
        <v/>
      </c>
      <c r="J36" s="85">
        <f>E36*H36</f>
        <v/>
      </c>
      <c r="K36" s="85">
        <f>F36*H36</f>
        <v/>
      </c>
      <c r="L36" s="96" t="inlineStr">
        <is>
          <t>Lot 5 Turnkey Rollout Baseline</t>
        </is>
      </c>
      <c r="M36" s="96" t="inlineStr">
        <is>
          <t>Signed ATP-A Certificate &amp; Punchlist Clearance Sheet</t>
        </is>
      </c>
    </row>
    <row r="37" ht="40" customHeight="1">
      <c r="A37" s="80" t="inlineStr">
        <is>
          <t>ACC-02</t>
        </is>
      </c>
      <c r="B37" s="96" t="inlineStr">
        <is>
          <t>Active Telecom &amp; Functional Acceptance (ATP-B)</t>
        </is>
      </c>
      <c r="C37" s="97" t="inlineStr">
        <is>
          <t>Remote and local active functional testing: verifying 8T8R MU-MIMO operation, electronic downtilt (eRET) remote control functionality via OSS, power fail / mains failure alarm simulation, optical fiber failover test, and carrier shutdown/restart diagnostic tests to ensure robust autonomic operation.
• Inclusions: Remote EMS diagnostic testing, alarm simulation, eRET control validation, MIMO verification.
• Exclusions: Physical climbing inspection (covered under ATP-A).</t>
        </is>
      </c>
      <c r="D37" s="80" t="inlineStr">
        <is>
          <t>Per Site</t>
        </is>
      </c>
      <c r="E37" s="98" t="n">
        <v>1000</v>
      </c>
      <c r="F37" s="98" t="n">
        <v>5000</v>
      </c>
      <c r="G37" s="80" t="inlineStr">
        <is>
          <t>1x (Turnkey Rollout)</t>
        </is>
      </c>
      <c r="H37" s="99" t="n"/>
      <c r="I37" s="84">
        <f>H37*55</f>
        <v/>
      </c>
      <c r="J37" s="85">
        <f>E37*H37</f>
        <v/>
      </c>
      <c r="K37" s="85">
        <f>F37*H37</f>
        <v/>
      </c>
      <c r="L37" s="96" t="inlineStr">
        <is>
          <t>Lot 5 Turnkey Rollout Baseline</t>
        </is>
      </c>
      <c r="M37" s="96" t="inlineStr">
        <is>
          <t>Signed ATP-B Functional Acceptance Certificate</t>
        </is>
      </c>
    </row>
    <row r="38" ht="40" customHeight="1">
      <c r="A38" s="80" t="inlineStr">
        <is>
          <t>ACC-03</t>
        </is>
      </c>
      <c r="B38" s="96" t="inlineStr">
        <is>
          <t>Single Site Verification (SSV) &amp; RF Call Testing</t>
        </is>
      </c>
      <c r="C38" s="97" t="inlineStr">
        <is>
          <t>On-ground field testing using 5G test UE and scanner: stationary throughput tests at near, mid, and cell-edge points per sector (validating &gt;= 450 Mbps peak DL, &gt;= 50 Mbps cell-edge DL, &gt;= 15 Mbps cell-edge UL); sector swap validation; intra-site handover execution; latency verification across backhaul media (Terrestrial Fiber: Target RTT &lt;= 18 ms to Core UPF, with Contractual Acceptance Rejection Ceiling &lt;= 30 ms per Appendix C KPI-RAN-07 and Bid Bulletin 01 §2.3; LEO Satellite Starlink / Expansion: Target RTT &lt;= 50 ms, Contractual Acceptance Rejection Ceiling &lt;= 65 ms); packet loss measurement (&lt; 0.1%); and compilation and formal sign-off of the comprehensive SSV Report.
• Inclusions: Stationary throughput tests, sector swap check, handover test, latency compliance test (&lt;= 30 ms fiber ceiling / &lt;= 65 ms satellite ceiling), SSV report compilation.
• Exclusions: Multi-site cluster drive testing (covered under Category 7).</t>
        </is>
      </c>
      <c r="D38" s="80" t="inlineStr">
        <is>
          <t>Per Site</t>
        </is>
      </c>
      <c r="E38" s="98" t="n">
        <v>1000</v>
      </c>
      <c r="F38" s="98" t="n">
        <v>5000</v>
      </c>
      <c r="G38" s="80" t="inlineStr">
        <is>
          <t>1x (Turnkey Rollout)</t>
        </is>
      </c>
      <c r="H38" s="99" t="n"/>
      <c r="I38" s="84">
        <f>H38*55</f>
        <v/>
      </c>
      <c r="J38" s="85">
        <f>E38*H38</f>
        <v/>
      </c>
      <c r="K38" s="85">
        <f>F38*H38</f>
        <v/>
      </c>
      <c r="L38" s="96" t="inlineStr">
        <is>
          <t>Lot 5 Turnkey Rollout Baseline</t>
        </is>
      </c>
      <c r="M38" s="96" t="inlineStr">
        <is>
          <t>Approved Single Site Verification (SSV) Report &amp; Log Files</t>
        </is>
      </c>
    </row>
    <row r="39" ht="24" customHeight="1">
      <c r="A39" s="95" t="inlineStr">
        <is>
          <t>DOMAIN: CLUSTER RADIO NETWORK OPTIMIZATION</t>
        </is>
      </c>
    </row>
    <row r="40" ht="40" customHeight="1">
      <c r="A40" s="80" t="inlineStr">
        <is>
          <t>RNO-01</t>
        </is>
      </c>
      <c r="B40" s="96" t="inlineStr">
        <is>
          <t>Pre-Launch Cluster Drive Testing &amp; RF Baseline Audit</t>
        </is>
      </c>
      <c r="C40" s="97" t="inlineStr">
        <is>
          <t>Continuous scanner and test UE drive testing across contiguous clusters of 10–20 sites; capturing RSRP, SINR, CQI, throughput, and coverage overlap; and identifying pilot pollution zones, coverage holes, and excessive inter-cell interference.
• Inclusions: Drive test vehicle, scanner, test UEs, GPS logging, drive test raw log processing, baseline report.
• Exclusions: Physical antenna re-orientation (governed under RNO-02).</t>
        </is>
      </c>
      <c r="D40" s="80" t="inlineStr">
        <is>
          <t>Per Site Share</t>
        </is>
      </c>
      <c r="E40" s="98" t="n">
        <v>1000</v>
      </c>
      <c r="F40" s="98" t="n">
        <v>5000</v>
      </c>
      <c r="G40" s="80" t="inlineStr">
        <is>
          <t>1x (Turnkey Rollout)</t>
        </is>
      </c>
      <c r="H40" s="99" t="n"/>
      <c r="I40" s="84">
        <f>H40*55</f>
        <v/>
      </c>
      <c r="J40" s="85">
        <f>E40*H40</f>
        <v/>
      </c>
      <c r="K40" s="85">
        <f>F40*H40</f>
        <v/>
      </c>
      <c r="L40" s="96" t="inlineStr">
        <is>
          <t>Lot 5 Turnkey Rollout Baseline</t>
        </is>
      </c>
      <c r="M40" s="96" t="inlineStr">
        <is>
          <t>Cluster Drive Test Raw Logs &amp; RF Baseline Audit Report</t>
        </is>
      </c>
    </row>
    <row r="41" ht="40" customHeight="1">
      <c r="A41" s="80" t="inlineStr">
        <is>
          <t>RNO-02</t>
        </is>
      </c>
      <c r="B41" s="96" t="inlineStr">
        <is>
          <t>Cluster Physical &amp; Soft Parameter Optimization</t>
        </is>
      </c>
      <c r="C41" s="97" t="inlineStr">
        <is>
          <t>Iterative optimization across cluster: electronic remote electrical tilt (eRET) adjustments to control cell-edge interference and shape coverage; azimuth and mechanical tilt adjustments where indicated; PCI re-planning to resolve mod-3/mod-30 clashes; neighbor list (NCL) cleanup; handover threshold tuning; and uplink power control adjustments.
• Inclusions: eRET tuning, PCI re-planning, neighbor tuning, handover optimization, parameter upload script.
• Exclusions: Major tower antenna re-heightening (governed by call-out rate card).</t>
        </is>
      </c>
      <c r="D41" s="80" t="inlineStr">
        <is>
          <t>Per Site Share</t>
        </is>
      </c>
      <c r="E41" s="98" t="n">
        <v>1000</v>
      </c>
      <c r="F41" s="98" t="n">
        <v>5000</v>
      </c>
      <c r="G41" s="80" t="inlineStr">
        <is>
          <t>1x (Turnkey Rollout)</t>
        </is>
      </c>
      <c r="H41" s="99" t="n"/>
      <c r="I41" s="84">
        <f>H41*55</f>
        <v/>
      </c>
      <c r="J41" s="85">
        <f>E41*H41</f>
        <v/>
      </c>
      <c r="K41" s="85">
        <f>F41*H41</f>
        <v/>
      </c>
      <c r="L41" s="96" t="inlineStr">
        <is>
          <t>Lot 5 Turnkey Rollout Baseline</t>
        </is>
      </c>
      <c r="M41" s="96" t="inlineStr">
        <is>
          <t>Cluster Parameter Optimization Record &amp; Delta Script</t>
        </is>
      </c>
    </row>
    <row r="42" ht="40" customHeight="1">
      <c r="A42" s="80" t="inlineStr">
        <is>
          <t>RNO-03</t>
        </is>
      </c>
      <c r="B42" s="96" t="inlineStr">
        <is>
          <t>Cluster Acceptance KPI Validation &amp; Final Sign-Off</t>
        </is>
      </c>
      <c r="C42" s="97" t="inlineStr">
        <is>
          <t>Post-tuning verification drive test and OSS 14-day statistical performance audit: validating cluster Radio Availability &gt;= 99.95%, Session Setup Success Rate (CSSR) &gt;= 99.60%, Session Drop Rate (CDDR) &lt;= 0.15%, cluster average DL throughput &gt;= 450 Mbps, cell-edge DL &gt;= 50 Mbps; and submission of formal Cluster Acceptance Dossier.
• Inclusions: Verification drive test, 14-day OSS KPI statistical audit, benchmark reporting, formal sign-off.
• Exclusions: Ongoing post-commercial operations optimization (covered under Lot 6 Managed Services).</t>
        </is>
      </c>
      <c r="D42" s="80" t="inlineStr">
        <is>
          <t>Per Cluster (65 Clusters Phase 1 / 325 Clusters Program)</t>
        </is>
      </c>
      <c r="E42" s="98" t="n">
        <v>65</v>
      </c>
      <c r="F42" s="98" t="n">
        <v>325</v>
      </c>
      <c r="G42" s="80" t="inlineStr">
        <is>
          <t>1x (Turnkey Rollout)</t>
        </is>
      </c>
      <c r="H42" s="99" t="n"/>
      <c r="I42" s="84">
        <f>H42*55</f>
        <v/>
      </c>
      <c r="J42" s="85">
        <f>E42*H42</f>
        <v/>
      </c>
      <c r="K42" s="85">
        <f>F42*H42</f>
        <v/>
      </c>
      <c r="L42" s="96" t="inlineStr">
        <is>
          <t>Lot 5 Turnkey Rollout Baseline</t>
        </is>
      </c>
      <c r="M42" s="96" t="inlineStr">
        <is>
          <t>Approved Cluster Acceptance Certificate &amp; 14-Day KPI Audit Report</t>
        </is>
      </c>
    </row>
    <row r="43" ht="24" customHeight="1">
      <c r="A43" s="95" t="inlineStr">
        <is>
          <t>DOMAIN: OPERATIONS &amp; MAINTENANCE (O&amp;M) / MANAGED SERVICES (24/7 MANAGED SERVICES — ANNUALIZED 12-MONTH &amp; 3-YEAR CONTRACTUAL BASELINE)</t>
        </is>
      </c>
    </row>
    <row r="44" ht="40" customHeight="1">
      <c r="A44" s="80" t="inlineStr">
        <is>
          <t>MS-NOC-01</t>
        </is>
      </c>
      <c r="B44" s="96" t="inlineStr">
        <is>
          <t>24/7/365 Central NOC Tier-1 Active Surveillance &amp; Alarm Monitoring</t>
        </is>
      </c>
      <c r="C44" s="97" t="inlineStr">
        <is>
          <t>Continuous 24/7/365 active monitoring of all active and passive network elements across RAN, Core, Power, and Transmission; automated alarm correlation and noise suppression; ticket logging within 5 minutes of alarm onset; and issuance of Daily Operational Flash Report at 06:00 PHT.
• Inclusions: 24/7 Tier-1 NOC staffing, automated correlation, trouble ticket creation, daily flash reporting.
• Exclusions: Third-party commercial power utility outages outside contractor control (tracked as excusable SLA).</t>
        </is>
      </c>
      <c r="D44" s="80" t="inlineStr">
        <is>
          <t>Per Site / Month</t>
        </is>
      </c>
      <c r="E44" s="98" t="n">
        <v>1000</v>
      </c>
      <c r="F44" s="98" t="n">
        <v>5000</v>
      </c>
      <c r="G44" s="80" t="inlineStr">
        <is>
          <t>12 Months / Year</t>
        </is>
      </c>
      <c r="H44" s="99" t="n"/>
      <c r="I44" s="84">
        <f>H44*55</f>
        <v/>
      </c>
      <c r="J44" s="85">
        <f>E44*H44*12</f>
        <v/>
      </c>
      <c r="K44" s="85">
        <f>F44*H44*12</f>
        <v/>
      </c>
      <c r="L44" s="96" t="inlineStr">
        <is>
          <t>Lot 6 Managed Services (NOC/FLM/SPMS/RNO Monthly Retainer)</t>
        </is>
      </c>
      <c r="M44" s="96" t="inlineStr">
        <is>
          <t>Daily Flash Reports, Monthly NOC Surveillance Dossier &amp; Availability Report</t>
        </is>
      </c>
    </row>
    <row r="45" ht="40" customHeight="1">
      <c r="A45" s="80" t="inlineStr">
        <is>
          <t>MS-NOC-02</t>
        </is>
      </c>
      <c r="B45" s="96" t="inlineStr">
        <is>
          <t>Incident Management, Triage &amp; Automated Trouble Ticketing</t>
        </is>
      </c>
      <c r="C45" s="97" t="inlineStr">
        <is>
          <t>End-to-end incident management: automated ticketing via OSS/ITSM; severity classification (Sev 1 Critical to Sev 4 Warning); technician dispatch initiation within 15 minutes for Sev 1 incidents; bridge coordination; and stakeholder notification.
• Inclusions: ITSM platform, ticket lifecycle tracking, escalation dispatch, MTTR SLA auditing.
• Exclusions: Operator customer service call center operations (BSS scope).</t>
        </is>
      </c>
      <c r="D45" s="80" t="inlineStr">
        <is>
          <t>Per Site / Month</t>
        </is>
      </c>
      <c r="E45" s="98" t="n">
        <v>1000</v>
      </c>
      <c r="F45" s="98" t="n">
        <v>5000</v>
      </c>
      <c r="G45" s="80" t="inlineStr">
        <is>
          <t>12 Months / Year</t>
        </is>
      </c>
      <c r="H45" s="99" t="n"/>
      <c r="I45" s="84">
        <f>H45*55</f>
        <v/>
      </c>
      <c r="J45" s="85">
        <f>E45*H45*12</f>
        <v/>
      </c>
      <c r="K45" s="85">
        <f>F45*H45*12</f>
        <v/>
      </c>
      <c r="L45" s="96" t="inlineStr">
        <is>
          <t>Lot 6 Managed Services (NOC/FLM/SPMS/RNO Monthly Retainer)</t>
        </is>
      </c>
      <c r="M45" s="96" t="inlineStr">
        <is>
          <t>Monthly Trouble Ticket Log, MTTR Audit &amp; Dispatch Statistics</t>
        </is>
      </c>
    </row>
    <row r="46" ht="40" customHeight="1">
      <c r="A46" s="80" t="inlineStr">
        <is>
          <t>MS-NOC-03</t>
        </is>
      </c>
      <c r="B46" s="96" t="inlineStr">
        <is>
          <t>Tier-2 Remote Technical Diagnostics, Fault Recovery &amp; Config Management</t>
        </is>
      </c>
      <c r="C46" s="97" t="inlineStr">
        <is>
          <t>24/7 remote engineering support: soft and hard resets, remote diagnostic sweeps, card re-initialization, backup configuration restoration, transmission routing failover, and software rollback to clear network faults without field truck rolls.
• Inclusions: Tier-2 remote engineers, remote script execution, transmission path failover, config restoration.
• Exclusions: Physical on-site hardware replacement (covered under FLM).</t>
        </is>
      </c>
      <c r="D46" s="80" t="inlineStr">
        <is>
          <t>Per Site / Month</t>
        </is>
      </c>
      <c r="E46" s="98" t="n">
        <v>1000</v>
      </c>
      <c r="F46" s="98" t="n">
        <v>5000</v>
      </c>
      <c r="G46" s="80" t="inlineStr">
        <is>
          <t>12 Months / Year</t>
        </is>
      </c>
      <c r="H46" s="99" t="n"/>
      <c r="I46" s="84">
        <f>H46*55</f>
        <v/>
      </c>
      <c r="J46" s="85">
        <f>E46*H46*12</f>
        <v/>
      </c>
      <c r="K46" s="85">
        <f>F46*H46*12</f>
        <v/>
      </c>
      <c r="L46" s="96" t="inlineStr">
        <is>
          <t>Lot 6 Managed Services (NOC/FLM/SPMS/RNO Monthly Retainer)</t>
        </is>
      </c>
      <c r="M46" s="96" t="inlineStr">
        <is>
          <t>Remote Fault Resolution Log &amp; Configuration Change Audit</t>
        </is>
      </c>
    </row>
    <row r="47" ht="40" customHeight="1">
      <c r="A47" s="80" t="inlineStr">
        <is>
          <t>MS-NOC-04</t>
        </is>
      </c>
      <c r="B47" s="96" t="inlineStr">
        <is>
          <t>Tier-3 Engineering Escalation &amp; OEM TAC Management</t>
        </is>
      </c>
      <c r="C47" s="97" t="inlineStr">
        <is>
          <t>Advanced engineering escalation for complex system bugs, protocol crashes, and persistent hardware/software anomalies: case logging with OEM TAC (Level 3), trace log collection, bug patch testing, software patch deployment, and Root Cause Analysis (RCA) reporting within 24 hours of major incident restoration.
• Inclusions: OEM TAC case management, trace capture, patch verification, RCA report compilation.
• Exclusions: OEM base software annual license royalties (governed under Software AMC).</t>
        </is>
      </c>
      <c r="D47" s="80" t="inlineStr">
        <is>
          <t>Per Site / Month</t>
        </is>
      </c>
      <c r="E47" s="98" t="n">
        <v>1000</v>
      </c>
      <c r="F47" s="98" t="n">
        <v>5000</v>
      </c>
      <c r="G47" s="80" t="inlineStr">
        <is>
          <t>12 Months / Year</t>
        </is>
      </c>
      <c r="H47" s="99" t="n"/>
      <c r="I47" s="84">
        <f>H47*55</f>
        <v/>
      </c>
      <c r="J47" s="85">
        <f>E47*H47*12</f>
        <v/>
      </c>
      <c r="K47" s="85">
        <f>F47*H47*12</f>
        <v/>
      </c>
      <c r="L47" s="96" t="inlineStr">
        <is>
          <t>Lot 6 Managed Services (NOC/FLM/SPMS/RNO Monthly Retainer)</t>
        </is>
      </c>
      <c r="M47" s="96" t="inlineStr">
        <is>
          <t>Formal Root Cause Analysis (RCA) Reports &amp; OEM TAC Case Log</t>
        </is>
      </c>
    </row>
    <row r="48" ht="40" customHeight="1">
      <c r="A48" s="80" t="inlineStr">
        <is>
          <t>MS-FLM-01</t>
        </is>
      </c>
      <c r="B48" s="96" t="inlineStr">
        <is>
          <t>24/7 Field First Line Maintenance (FLM) Emergency Response</t>
        </is>
      </c>
      <c r="C48" s="97" t="inlineStr">
        <is>
          <t>Provision of dedicated, nationwide 24/7 mobile field maintenance crews equipped with 4x4 vehicles, complete safety gear, calibrated test instruments, and emergency restoration tools. Strict compliance with mandated MTTR SLAs: Severity 1 (Critical - Site Outage): Response &lt;= 15 mins, MTTR &lt;= 2.0h (Urban) / &lt;= 4.0h (Rural); Severity 2 (Major - Sector Down / Power Degraded): Response &lt;= 30 mins, MTTR &lt;= 4.0h (Urban) / &lt;= 6.0h (Rural); Severity 3 (Minor - Non-Service Affecting): Response &lt;= 1h, MTTR &lt;= 12.0h (Urban) / &lt;= 24.0h (Rural); Severity 4 (Warning / Planned): Response &lt;= 4h, MTTR &lt;= 48.0h (Urban) / &lt;= 72.0h (Rural).
• Inclusions: Dedicated 24/7 crews, 4x4 maintenance vehicles, tools, fuel, emergency call-outs.
• Exclusions: Force majeure acts of God (typhoon damage recovery governed under Call-Out Rate Card).</t>
        </is>
      </c>
      <c r="D48" s="80" t="inlineStr">
        <is>
          <t>Per Site / Month</t>
        </is>
      </c>
      <c r="E48" s="98" t="n">
        <v>1000</v>
      </c>
      <c r="F48" s="98" t="n">
        <v>5000</v>
      </c>
      <c r="G48" s="80" t="inlineStr">
        <is>
          <t>12 Months / Year</t>
        </is>
      </c>
      <c r="H48" s="99" t="n"/>
      <c r="I48" s="84">
        <f>H48*55</f>
        <v/>
      </c>
      <c r="J48" s="85">
        <f>E48*H48*12</f>
        <v/>
      </c>
      <c r="K48" s="85">
        <f>F48*H48*12</f>
        <v/>
      </c>
      <c r="L48" s="96" t="inlineStr">
        <is>
          <t>Lot 6 Managed Services (NOC/FLM/SPMS/RNO Monthly Retainer)</t>
        </is>
      </c>
      <c r="M48" s="96" t="inlineStr">
        <is>
          <t>Monthly FLM Incident Log, Restoration Work Orders &amp; MTTR SLA Report</t>
        </is>
      </c>
    </row>
    <row r="49" ht="40" customHeight="1">
      <c r="A49" s="80" t="inlineStr">
        <is>
          <t>MS-FLM-02</t>
        </is>
      </c>
      <c r="B49" s="96" t="inlineStr">
        <is>
          <t>Active Telecom Hardware Replacement &amp; Field Swapping</t>
        </is>
      </c>
      <c r="C49" s="97" t="inlineStr">
        <is>
          <t>On-site replacement of damaged or defective active telecom hardware: RRUs, BBUs, baseband processing cards, optical SFP transceivers, RF jumpers, and GPS antennas, utilizing pre-staged regional spare parts float to achieve fast-track MTTR restoration.
• Inclusions: Technician labor, de-installation, replacement installation, power-up test, return voucher.
• Exclusions: Cost of out-of-warranty hardware destruction caused by third-party vandalism.</t>
        </is>
      </c>
      <c r="D49" s="80" t="inlineStr">
        <is>
          <t>Included in Base Retainer ($0.00)</t>
        </is>
      </c>
      <c r="E49" s="98" t="n">
        <v>1000</v>
      </c>
      <c r="F49" s="98" t="n">
        <v>5000</v>
      </c>
      <c r="G49" s="100" t="inlineStr">
        <is>
          <t>Included in Base Retainer ($0.00)</t>
        </is>
      </c>
      <c r="H49" s="101" t="n">
        <v>0</v>
      </c>
      <c r="I49" s="102">
        <f>H49*55</f>
        <v/>
      </c>
      <c r="J49" s="101">
        <f>0.00</f>
        <v/>
      </c>
      <c r="K49" s="101">
        <f>0.00</f>
        <v/>
      </c>
      <c r="L49" s="96" t="inlineStr">
        <is>
          <t>Lot 6 Base Retainer Included (Bundled in FLM-01 / SPM-01)</t>
        </is>
      </c>
      <c r="M49" s="96" t="inlineStr">
        <is>
          <t>Hardware Replacement Slip &amp; Defective Unit Return Voucher</t>
        </is>
      </c>
    </row>
    <row r="50" ht="40" customHeight="1">
      <c r="A50" s="80" t="inlineStr">
        <is>
          <t>MS-FLM-03</t>
        </is>
      </c>
      <c r="B50" s="96" t="inlineStr">
        <is>
          <t>Passive Power &amp; Infrastructure Emergency Restoration</t>
        </is>
      </c>
      <c r="C50" s="97" t="inlineStr">
        <is>
          <t>Rapid restoration of passive site elements: resetting/replacing tripped DC distribution breakers, rectifying rectifier module faults, clearing battery management system (BMS) lockouts, replacing blown AC/DC surge protection devices (SPDs), and diagnosing automatic transfer switch (ATS) failures.
• Inclusions: Electrical diagnosis, breaker reset/replacement, SPD swapping, BMS diagnostic clearing.
• Exclusions: Replacement of entire battery bank destroyed by external flood (insurance scope).</t>
        </is>
      </c>
      <c r="D50" s="80" t="inlineStr">
        <is>
          <t>Included in Base Retainer ($0.00)</t>
        </is>
      </c>
      <c r="E50" s="98" t="n">
        <v>1000</v>
      </c>
      <c r="F50" s="98" t="n">
        <v>5000</v>
      </c>
      <c r="G50" s="100" t="inlineStr">
        <is>
          <t>Included in Base Retainer ($0.00)</t>
        </is>
      </c>
      <c r="H50" s="101" t="n">
        <v>0</v>
      </c>
      <c r="I50" s="102">
        <f>H50*55</f>
        <v/>
      </c>
      <c r="J50" s="101">
        <f>0.00</f>
        <v/>
      </c>
      <c r="K50" s="101">
        <f>0.00</f>
        <v/>
      </c>
      <c r="L50" s="96" t="inlineStr">
        <is>
          <t>Lot 6 Base Retainer Included (Bundled in FLM-01 / SPM-01)</t>
        </is>
      </c>
      <c r="M50" s="96" t="inlineStr">
        <is>
          <t>Passive Infrastructure Restoration Work Order</t>
        </is>
      </c>
    </row>
    <row r="51" ht="40" customHeight="1">
      <c r="A51" s="80" t="inlineStr">
        <is>
          <t>MS-FLM-04</t>
        </is>
      </c>
      <c r="B51" s="96" t="inlineStr">
        <is>
          <t>Emergency Fiber Backhaul Splicing &amp; Optical Link Restoration</t>
        </is>
      </c>
      <c r="C51" s="97" t="inlineStr">
        <is>
          <t>Emergency mobilization for fiber transmission outages: OTDR optical fault localization, optical cable drop replacement, mechanical or fusion splicing, and optical splice enclosure re-sealing to restore backhaul transport within mandated MTTR.
• Inclusions: OTDR fault tracing, fusion splicing labor, splice enclosure resealing, link test.
• Exclusions: Major fiber spans exceeding 500 meters (governed by Call-Out Rate Card).</t>
        </is>
      </c>
      <c r="D51" s="80" t="inlineStr">
        <is>
          <t>Included in Base Retainer ($0.00)</t>
        </is>
      </c>
      <c r="E51" s="98" t="n">
        <v>1000</v>
      </c>
      <c r="F51" s="98" t="n">
        <v>5000</v>
      </c>
      <c r="G51" s="100" t="inlineStr">
        <is>
          <t>Included in Base Retainer ($0.00)</t>
        </is>
      </c>
      <c r="H51" s="101" t="n">
        <v>0</v>
      </c>
      <c r="I51" s="102">
        <f>H51*55</f>
        <v/>
      </c>
      <c r="J51" s="101">
        <f>0.00</f>
        <v/>
      </c>
      <c r="K51" s="101">
        <f>0.00</f>
        <v/>
      </c>
      <c r="L51" s="96" t="inlineStr">
        <is>
          <t>Lot 6 Base Retainer Included (Bundled in FLM-01 / SPM-01)</t>
        </is>
      </c>
      <c r="M51" s="96" t="inlineStr">
        <is>
          <t>Optical OTDR Trace Report &amp; Splicing Restoration Certificate</t>
        </is>
      </c>
    </row>
    <row r="52" ht="40" customHeight="1">
      <c r="A52" s="80" t="inlineStr">
        <is>
          <t>MS-PM-01</t>
        </is>
      </c>
      <c r="B52" s="96" t="inlineStr">
        <is>
          <t>Quarterly Telecom Equipment Preventive Maintenance (Module A)</t>
        </is>
      </c>
      <c r="C52" s="97" t="inlineStr">
        <is>
          <t>Execution of 100% quarterly routine telecom PM: visual inspection of BBU/RRU chassis, optical fiber connector cleaning and inspection, RF jumper weatherproofing boot inspection, cable clamp torque verification, optical SFP power level verification, and dust filter cleaning.
• Inclusions: Quarterly on-site inspection, connector cleaning, weatherproofing audit, SFP level audit, PM report.
• Exclusions: Major equipment overhaul.</t>
        </is>
      </c>
      <c r="D52" s="80" t="inlineStr">
        <is>
          <t>Per Site / Quarter</t>
        </is>
      </c>
      <c r="E52" s="98" t="n">
        <v>1000</v>
      </c>
      <c r="F52" s="98" t="n">
        <v>5000</v>
      </c>
      <c r="G52" s="80" t="inlineStr">
        <is>
          <t>4 Quarters / Year</t>
        </is>
      </c>
      <c r="H52" s="99" t="n"/>
      <c r="I52" s="84">
        <f>H52*55</f>
        <v/>
      </c>
      <c r="J52" s="85">
        <f>E52*H52*4</f>
        <v/>
      </c>
      <c r="K52" s="85">
        <f>F52*H52*4</f>
        <v/>
      </c>
      <c r="L52" s="96" t="inlineStr">
        <is>
          <t>Lot 6 Managed Services (Quarterly PM Modules A,B,C,E)</t>
        </is>
      </c>
      <c r="M52" s="96" t="inlineStr">
        <is>
          <t>Quarterly Telecom PM Report &amp; Mobile App Timestamped Audit Dossier</t>
        </is>
      </c>
    </row>
    <row r="53" ht="40" customHeight="1">
      <c r="A53" s="80" t="inlineStr">
        <is>
          <t>MS-PM-02</t>
        </is>
      </c>
      <c r="B53" s="96" t="inlineStr">
        <is>
          <t>Quarterly DC Power &amp; LiFePO4 Battery PM (Module B)</t>
        </is>
      </c>
      <c r="C53" s="97" t="inlineStr">
        <is>
          <t>Comprehensive quarterly electrical PM: rectifier module load sharing verification, DC output float/equalize voltage calibration, terminal screw torque verification, LiFePO4 battery BMS diagnostic sweep, cell voltage and internal resistance measurement, and 1-hour controlled battery discharge autonomy test under load.
• Inclusions: Rectifier calibration, BMS diagnostic sweep, internal resistance test, 1-hour load test.
• Exclusions: Battery module replacement (handled under RMA / Spares float).</t>
        </is>
      </c>
      <c r="D53" s="80" t="inlineStr">
        <is>
          <t>Per Site / Quarter</t>
        </is>
      </c>
      <c r="E53" s="98" t="n">
        <v>1000</v>
      </c>
      <c r="F53" s="98" t="n">
        <v>5000</v>
      </c>
      <c r="G53" s="80" t="inlineStr">
        <is>
          <t>4 Quarters / Year</t>
        </is>
      </c>
      <c r="H53" s="99" t="n"/>
      <c r="I53" s="84">
        <f>H53*55</f>
        <v/>
      </c>
      <c r="J53" s="85">
        <f>E53*H53*4</f>
        <v/>
      </c>
      <c r="K53" s="85">
        <f>F53*H53*4</f>
        <v/>
      </c>
      <c r="L53" s="96" t="inlineStr">
        <is>
          <t>Lot 6 Managed Services (Quarterly PM Modules A,B,C,E)</t>
        </is>
      </c>
      <c r="M53" s="96" t="inlineStr">
        <is>
          <t>DC Power &amp; Battery PM Audit Report + Cell Health Telemetry</t>
        </is>
      </c>
    </row>
    <row r="54" ht="40" customHeight="1">
      <c r="A54" s="80" t="inlineStr">
        <is>
          <t>MS-PM-03</t>
        </is>
      </c>
      <c r="B54" s="96" t="inlineStr">
        <is>
          <t>Quarterly Earth Grounding &amp; Lightning Protection Audit (Module C)</t>
        </is>
      </c>
      <c r="C54" s="97" t="inlineStr">
        <is>
          <t>Precision ground resistance audit using 3-point fall-of-potential test instrument (confirming earth ground resistance &lt;= 5.0 Ohms); Cadweld connection inspection; copper busbar bolt torque check; corrosion audit; and inspection of air terminals, down-conductors, and surge arresters.
• Inclusions: 3-point fall-of-potential test, Cadweld check, busbar torque check, lightning arrester audit.
• Exclusions: Civil construction of new ground ring (if soil conditions deteriorate; governed by civil rate card).</t>
        </is>
      </c>
      <c r="D54" s="80" t="inlineStr">
        <is>
          <t>Per Site / Quarter</t>
        </is>
      </c>
      <c r="E54" s="98" t="n">
        <v>1000</v>
      </c>
      <c r="F54" s="98" t="n">
        <v>5000</v>
      </c>
      <c r="G54" s="80" t="inlineStr">
        <is>
          <t>4 Quarters / Year</t>
        </is>
      </c>
      <c r="H54" s="99" t="n"/>
      <c r="I54" s="84">
        <f>H54*55</f>
        <v/>
      </c>
      <c r="J54" s="85">
        <f>E54*H54*4</f>
        <v/>
      </c>
      <c r="K54" s="85">
        <f>F54*H54*4</f>
        <v/>
      </c>
      <c r="L54" s="96" t="inlineStr">
        <is>
          <t>Lot 6 Managed Services (Quarterly PM Modules A,B,C,E)</t>
        </is>
      </c>
      <c r="M54" s="96" t="inlineStr">
        <is>
          <t>Earth Ground Resistance Test Certificate with Instrument Calibration Tag</t>
        </is>
      </c>
    </row>
    <row r="55" ht="40" customHeight="1">
      <c r="A55" s="80" t="inlineStr">
        <is>
          <t>MS-PM-04</t>
        </is>
      </c>
      <c r="B55" s="96" t="inlineStr">
        <is>
          <t>Bi-Annual Tower Structure, Rigging &amp; Aviation Light Audit (Module D)</t>
        </is>
      </c>
      <c r="C55" s="97" t="inlineStr">
        <is>
          <t>Specialized climbing inspection conducted twice per year: physical inspection of tower steel members, monopole climbing ladder, fall arrest cable, AMB mounting bracket bolt torque verification, antenna azimuth/tilt physical check, cable ladder clamping check, and inspection of CAAP-compliant aviation obstruction light and photocell controller.
• Inclusions: Certified climbing riggers, structural member inspection, bolt torque audit, CAAP light audit.
• Exclusions: Tower painting / rust rehabilitation (governed under civil facility maintenance).</t>
        </is>
      </c>
      <c r="D55" s="80" t="inlineStr">
        <is>
          <t>Per Site / Semi-Annual</t>
        </is>
      </c>
      <c r="E55" s="98" t="n">
        <v>1000</v>
      </c>
      <c r="F55" s="98" t="n">
        <v>5000</v>
      </c>
      <c r="G55" s="80" t="inlineStr">
        <is>
          <t>2 Semi-Annuals / Year</t>
        </is>
      </c>
      <c r="H55" s="99" t="n"/>
      <c r="I55" s="84">
        <f>H55*55</f>
        <v/>
      </c>
      <c r="J55" s="85">
        <f>E55*H55*2</f>
        <v/>
      </c>
      <c r="K55" s="85">
        <f>F55*H55*2</f>
        <v/>
      </c>
      <c r="L55" s="96" t="inlineStr">
        <is>
          <t>Lot 6 Managed Services (Semi-Annual Tower PM Module D)</t>
        </is>
      </c>
      <c r="M55" s="96" t="inlineStr">
        <is>
          <t>Bi-Annual Tower Climbing &amp; Rigging Audit Report + High-Res Photos</t>
        </is>
      </c>
    </row>
    <row r="56" ht="40" customHeight="1">
      <c r="A56" s="80" t="inlineStr">
        <is>
          <t>MS-PM-05</t>
        </is>
      </c>
      <c r="B56" s="96" t="inlineStr">
        <is>
          <t>Quarterly Site Compound, Civil &amp; Environmental Upkeep (Module E)</t>
        </is>
      </c>
      <c r="C56" s="97" t="inlineStr">
        <is>
          <t>Routine civil compound maintenance: inspection and repair of chain-link perimeter fencing and barbed wire; greasing and servicing gate locking mechanisms; weed cutting, vegetation clearance, and chemical weed-killing within a 3-meter perimeter of compound; drainage channel clearing; and pest/rodent proofing of equipment cabinet cable entries.
• Inclusions: Compound weeding, perimeter clearing, fence repair, lock lubrication, cable entry pest sealing.
• Exclusions: Major civil perimeter wall re-construction post-landslide.</t>
        </is>
      </c>
      <c r="D56" s="80" t="inlineStr">
        <is>
          <t>Per Site / Quarter</t>
        </is>
      </c>
      <c r="E56" s="98" t="n">
        <v>1000</v>
      </c>
      <c r="F56" s="98" t="n">
        <v>5000</v>
      </c>
      <c r="G56" s="80" t="inlineStr">
        <is>
          <t>4 Quarters / Year</t>
        </is>
      </c>
      <c r="H56" s="99" t="n"/>
      <c r="I56" s="84">
        <f>H56*55</f>
        <v/>
      </c>
      <c r="J56" s="85">
        <f>E56*H56*4</f>
        <v/>
      </c>
      <c r="K56" s="85">
        <f>F56*H56*4</f>
        <v/>
      </c>
      <c r="L56" s="96" t="inlineStr">
        <is>
          <t>Lot 6 Managed Services (Quarterly PM Modules A,B,C,E)</t>
        </is>
      </c>
      <c r="M56" s="96" t="inlineStr">
        <is>
          <t>Compound Upkeep Audit Checklist &amp; Before/After Photos</t>
        </is>
      </c>
    </row>
    <row r="57" ht="40" customHeight="1">
      <c r="A57" s="80" t="inlineStr">
        <is>
          <t>MS-SPM-01</t>
        </is>
      </c>
      <c r="B57" s="96" t="inlineStr">
        <is>
          <t>Regional Spare Parts Buffer Float Management (SPMS)</t>
        </is>
      </c>
      <c r="C57" s="97" t="inlineStr">
        <is>
          <t>Operation of climate-controlled, secure regional spare parts depots (Mega Manila, North Luzon, South Luzon, Visayas, Mindanao); managing and maintaining an agreed 2.0% active hardware spares float (BBUs, RRUs, SFPs, rectifiers, batteries, cables); tracking serial numbers via WMS; and conducting monthly physical cycle counts.
• Inclusions: Regional storage depots, inventory management, serialized tracking, monthly cycle counts.
• Exclusions: Procurement of additional replacement spares beyond contractual float (Operator capex).</t>
        </is>
      </c>
      <c r="D57" s="80" t="inlineStr">
        <is>
          <t>Per Site / Month</t>
        </is>
      </c>
      <c r="E57" s="98" t="n">
        <v>1000</v>
      </c>
      <c r="F57" s="98" t="n">
        <v>5000</v>
      </c>
      <c r="G57" s="80" t="inlineStr">
        <is>
          <t>12 Months / Year</t>
        </is>
      </c>
      <c r="H57" s="99" t="n"/>
      <c r="I57" s="84">
        <f>H57*55</f>
        <v/>
      </c>
      <c r="J57" s="85">
        <f>E57*H57*12</f>
        <v/>
      </c>
      <c r="K57" s="85">
        <f>F57*H57*12</f>
        <v/>
      </c>
      <c r="L57" s="96" t="inlineStr">
        <is>
          <t>Lot 6 Managed Services (NOC/FLM/SPMS/RNO Monthly Retainer)</t>
        </is>
      </c>
      <c r="M57" s="96" t="inlineStr">
        <is>
          <t>Monthly Spare Parts Float Status Report &amp; Cycle Count Audit</t>
        </is>
      </c>
    </row>
    <row r="58" ht="40" customHeight="1">
      <c r="A58" s="80" t="inlineStr">
        <is>
          <t>MS-SPM-02</t>
        </is>
      </c>
      <c r="B58" s="96" t="inlineStr">
        <is>
          <t>Advance Hardware Replacement (AHR) &amp; Expedited Field Delivery</t>
        </is>
      </c>
      <c r="C58" s="97" t="inlineStr">
        <is>
          <t>Rapid logistics dispatch delivering replacement hardware to field maintenance crews: Next-Business-Day (NBD) standard delivery nationwide, or expedited 4-hour emergency delivery for major macro hubs and critical transmission nodes.
• Inclusions: Expedited dispatch, emergency courier, chain of custody documentation, field delivery receipt.
• Exclusions: Standard scheduled routine replenishment.</t>
        </is>
      </c>
      <c r="D58" s="80" t="inlineStr">
        <is>
          <t>Included in Base Retainer ($0.00)</t>
        </is>
      </c>
      <c r="E58" s="98" t="n">
        <v>1000</v>
      </c>
      <c r="F58" s="98" t="n">
        <v>5000</v>
      </c>
      <c r="G58" s="100" t="inlineStr">
        <is>
          <t>Included in Base Retainer ($0.00)</t>
        </is>
      </c>
      <c r="H58" s="101" t="n">
        <v>0</v>
      </c>
      <c r="I58" s="102">
        <f>H58*55</f>
        <v/>
      </c>
      <c r="J58" s="101">
        <f>0.00</f>
        <v/>
      </c>
      <c r="K58" s="101">
        <f>0.00</f>
        <v/>
      </c>
      <c r="L58" s="96" t="inlineStr">
        <is>
          <t>Lot 6 Base Retainer Included (Bundled in FLM-01 / SPM-01)</t>
        </is>
      </c>
      <c r="M58" s="96" t="inlineStr">
        <is>
          <t>Hardware Dispatch Manifest &amp; Proof of On-Site Delivery</t>
        </is>
      </c>
    </row>
    <row r="59" ht="40" customHeight="1">
      <c r="A59" s="80" t="inlineStr">
        <is>
          <t>MS-SPM-03</t>
        </is>
      </c>
      <c r="B59" s="96" t="inlineStr">
        <is>
          <t>Return Merchandise Authorization (RMA) &amp; OEM Factory Repair Logistics</t>
        </is>
      </c>
      <c r="C59" s="97" t="inlineStr">
        <is>
          <t>Managing the reverse logistics lifecycle for defective hardware: retrieving faulty units from field crews, conducting triage, generating RMA requests, managing packaging and export/import customs for OEM repair/replacement, tracking turnaround time (TAT &lt;= 30 calendar days), and returning repaired units to the regional buffer float.
• Inclusions: Defective unit triage, RMA processing, shipping to OEM repair facility, tracking, customs clearance.
• Exclusions: Out-of-warranty OEM repair billing charges (passed through at actual OEM repair cost).</t>
        </is>
      </c>
      <c r="D59" s="80" t="inlineStr">
        <is>
          <t>Included in Base Retainer ($0.00)</t>
        </is>
      </c>
      <c r="E59" s="98" t="n">
        <v>1000</v>
      </c>
      <c r="F59" s="98" t="n">
        <v>5000</v>
      </c>
      <c r="G59" s="100" t="inlineStr">
        <is>
          <t>Included in Base Retainer ($0.00)</t>
        </is>
      </c>
      <c r="H59" s="101" t="n">
        <v>0</v>
      </c>
      <c r="I59" s="102">
        <f>H59*55</f>
        <v/>
      </c>
      <c r="J59" s="101">
        <f>0.00</f>
        <v/>
      </c>
      <c r="K59" s="101">
        <f>0.00</f>
        <v/>
      </c>
      <c r="L59" s="96" t="inlineStr">
        <is>
          <t>Lot 6 Base Retainer Included (Bundled in FLM-01 / SPM-01)</t>
        </is>
      </c>
      <c r="M59" s="96" t="inlineStr">
        <is>
          <t>RMA Lifecycle Tracking Dossier &amp; OEM Repair Turnaround Log</t>
        </is>
      </c>
    </row>
    <row r="60" ht="40" customHeight="1">
      <c r="A60" s="80" t="inlineStr">
        <is>
          <t>MS-RNO-01</t>
        </is>
      </c>
      <c r="B60" s="96" t="inlineStr">
        <is>
          <t>Continuous Radio Network Optimization &amp; Weekly KPI Surveillance</t>
        </is>
      </c>
      <c r="C60" s="97" t="inlineStr">
        <is>
          <t>Ongoing network-wide RF quality surveillance: daily and weekly statistical KPI tracking (Radio Availability, CSSR, CDDR, average throughput, PRB utilization, cell-edge speeds); identification and root-cause analysis of Worst Performing Cells (WPC); dynamic parameter fine-tuning; and weekly optimization meetings.
• Inclusions: Dedicated RF optimization engineers, weekly WPC triage, parameter tuning scripts, KPI governance.
• Exclusions: Major network replanning requiring addition of new cell sites (expansion capex).</t>
        </is>
      </c>
      <c r="D60" s="80" t="inlineStr">
        <is>
          <t>Per Site / Month</t>
        </is>
      </c>
      <c r="E60" s="98" t="n">
        <v>1000</v>
      </c>
      <c r="F60" s="98" t="n">
        <v>5000</v>
      </c>
      <c r="G60" s="80" t="inlineStr">
        <is>
          <t>12 Months / Year</t>
        </is>
      </c>
      <c r="H60" s="99" t="n"/>
      <c r="I60" s="84">
        <f>H60*55</f>
        <v/>
      </c>
      <c r="J60" s="85">
        <f>E60*H60*12</f>
        <v/>
      </c>
      <c r="K60" s="85">
        <f>F60*H60*12</f>
        <v/>
      </c>
      <c r="L60" s="96" t="inlineStr">
        <is>
          <t>Lot 6 Managed Services (NOC/FLM/SPMS/RNO Monthly Retainer)</t>
        </is>
      </c>
      <c r="M60" s="96" t="inlineStr">
        <is>
          <t>Weekly Worst Performing Cell (WPC) Report &amp; Monthly Network KPI Dossier</t>
        </is>
      </c>
    </row>
    <row r="61" ht="40" customHeight="1">
      <c r="A61" s="80" t="inlineStr">
        <is>
          <t>MS-RNO-02</t>
        </is>
      </c>
      <c r="B61" s="96" t="inlineStr">
        <is>
          <t>Interference Hunting, PIM Mitigation &amp; Customer Complaint Field Audit</t>
        </is>
      </c>
      <c r="C61" s="97" t="inlineStr">
        <is>
          <t>Field RF investigation for degraded sectors: spectrum analyzer sweeps to detect and locate external interference sources (jamming, unauthorized boosters, microwave leakage); Passive Intermodulation (PIM) testing and remediation on antenna lines; and on-site drive validation for VIP or high-churn barangay clusters.
• Inclusions: Spectrum analyzer field sweeps, PIM testing, interference source triangulation, customer complaint verification.
• Exclusions: Legal action against illegal booster operators (handled by NTC / Operator Legal).</t>
        </is>
      </c>
      <c r="D61" s="80" t="inlineStr">
        <is>
          <t>Per Site / Month</t>
        </is>
      </c>
      <c r="E61" s="98" t="n">
        <v>1000</v>
      </c>
      <c r="F61" s="98" t="n">
        <v>5000</v>
      </c>
      <c r="G61" s="80" t="inlineStr">
        <is>
          <t>12 Months / Year</t>
        </is>
      </c>
      <c r="H61" s="99" t="n"/>
      <c r="I61" s="84">
        <f>H61*55</f>
        <v/>
      </c>
      <c r="J61" s="85">
        <f>E61*H61*12</f>
        <v/>
      </c>
      <c r="K61" s="85">
        <f>F61*H61*12</f>
        <v/>
      </c>
      <c r="L61" s="96" t="inlineStr">
        <is>
          <t>Lot 6 Managed Services (NOC/FLM/SPMS/RNO Monthly Retainer)</t>
        </is>
      </c>
      <c r="M61" s="96" t="inlineStr">
        <is>
          <t>Interference Investigation Dossier &amp; Spectrum Sweep Traces</t>
        </is>
      </c>
    </row>
    <row r="62" ht="40" customHeight="1">
      <c r="A62" s="80" t="inlineStr">
        <is>
          <t>MS-FAC-01</t>
        </is>
      </c>
      <c r="B62" s="96" t="inlineStr">
        <is>
          <t>Passive Tower &amp; Civil Facility Maintenance</t>
        </is>
      </c>
      <c r="C62" s="97" t="inlineStr">
        <is>
          <t>Structural preservation of passive site assets: rust scraping, cold galvanizing compound application, and repainting of steel members in corrosive/coastal environments; repairing cracked equipment plinths; re-caulking cable entry boots; and maintaining access road drainage and clear-way.
• Inclusions: Anti-corrosion touch-up, cold galvanizing, plinth crack sealing, cable entry maintenance.
• Exclusions: Full tower structural re-erection post-catastrophic failure.</t>
        </is>
      </c>
      <c r="D62" s="80" t="inlineStr">
        <is>
          <t>Per Site / Month</t>
        </is>
      </c>
      <c r="E62" s="98" t="n">
        <v>1000</v>
      </c>
      <c r="F62" s="98" t="n">
        <v>5000</v>
      </c>
      <c r="G62" s="80" t="inlineStr">
        <is>
          <t>12 Months / Year</t>
        </is>
      </c>
      <c r="H62" s="99" t="n"/>
      <c r="I62" s="84">
        <f>H62*55</f>
        <v/>
      </c>
      <c r="J62" s="85">
        <f>E62*H62*12</f>
        <v/>
      </c>
      <c r="K62" s="85">
        <f>F62*H62*12</f>
        <v/>
      </c>
      <c r="L62" s="96" t="inlineStr">
        <is>
          <t>Lot 6 Managed Services (NOC/FLM/SPMS/RNO Monthly Retainer)</t>
        </is>
      </c>
      <c r="M62" s="96" t="inlineStr">
        <is>
          <t>Monthly Facility Maintenance Log &amp; Civil Condition Report</t>
        </is>
      </c>
    </row>
    <row r="63" ht="40" customHeight="1">
      <c r="A63" s="80" t="inlineStr">
        <is>
          <t>MS-PWR-01</t>
        </is>
      </c>
      <c r="B63" s="96" t="inlineStr">
        <is>
          <t>Energy, Utility Grid (Meralco/Coop) Coordination &amp; Genset PM</t>
        </is>
      </c>
      <c r="C63" s="97" t="inlineStr">
        <is>
          <t>Power management coordination: monitoring utility power reliability, validating commercial meter readings, coordinating with Meralco/electric cooperatives for transformer fuse restoration, and performing routine 250-hour preventive servicing on backup diesel generator sets (engine oil, oil filter, fuel filter, air cleaner replacement, coolant check).
• Inclusions: Utility outage coordination, meter reading audit, 250-hr generator PM servicing, coolant/filter checks.
• Exclusions: Commercial grid electric utility consumption charges (Operator pays utility bills).</t>
        </is>
      </c>
      <c r="D63" s="80" t="inlineStr">
        <is>
          <t>Per Site / Month</t>
        </is>
      </c>
      <c r="E63" s="98" t="n">
        <v>1000</v>
      </c>
      <c r="F63" s="98" t="n">
        <v>5000</v>
      </c>
      <c r="G63" s="80" t="inlineStr">
        <is>
          <t>12 Months / Year</t>
        </is>
      </c>
      <c r="H63" s="99" t="n"/>
      <c r="I63" s="84">
        <f>H63*55</f>
        <v/>
      </c>
      <c r="J63" s="85">
        <f>E63*H63*12</f>
        <v/>
      </c>
      <c r="K63" s="85">
        <f>F63*H63*12</f>
        <v/>
      </c>
      <c r="L63" s="96" t="inlineStr">
        <is>
          <t>Lot 6 Managed Services (NOC/FLM/SPMS/RNO Monthly Retainer)</t>
        </is>
      </c>
      <c r="M63" s="96" t="inlineStr">
        <is>
          <t>Monthly Energy Consumption Audit &amp; Genset PM Service Log</t>
        </is>
      </c>
    </row>
    <row r="64" ht="40" customHeight="1">
      <c r="A64" s="80" t="inlineStr">
        <is>
          <t>MS-SW-01</t>
        </is>
      </c>
      <c r="B64" s="96" t="inlineStr">
        <is>
          <t>Software Support, Firmware Patching &amp; Cybersecurity Hardening</t>
        </is>
      </c>
      <c r="C64" s="97" t="inlineStr">
        <is>
          <t>Scheduled execution of software maintenance: applying OEM-approved firmware updates and feature patches during maintenance windows (00:00–05:00); implementing CVE security patches and hardening configs; executing weekly automated BBU and Core configuration backups; and maintaining offsite configuration archives.
• Inclusions: Firmware deployment, CVE security updates, maintenance window execution, automated backups.
• Exclusions: New major software feature releases requiring feature license fee purchase (Lot 1/Lot 3 scope).</t>
        </is>
      </c>
      <c r="D64" s="80" t="inlineStr">
        <is>
          <t>Per Site / Month</t>
        </is>
      </c>
      <c r="E64" s="98" t="n">
        <v>1000</v>
      </c>
      <c r="F64" s="98" t="n">
        <v>5000</v>
      </c>
      <c r="G64" s="80" t="inlineStr">
        <is>
          <t>12 Months / Year</t>
        </is>
      </c>
      <c r="H64" s="99" t="n"/>
      <c r="I64" s="84">
        <f>H64*55</f>
        <v/>
      </c>
      <c r="J64" s="85">
        <f>E64*H64*12</f>
        <v/>
      </c>
      <c r="K64" s="85">
        <f>F64*H64*12</f>
        <v/>
      </c>
      <c r="L64" s="96" t="inlineStr">
        <is>
          <t>Lot 6 Managed Services (NOC/FLM/SPMS/RNO Monthly Retainer)</t>
        </is>
      </c>
      <c r="M64" s="96" t="inlineStr">
        <is>
          <t>Monthly Patch Deployment Log &amp; Configuration Backup Verification Certificate</t>
        </is>
      </c>
    </row>
    <row r="65" ht="24" customHeight="1">
      <c r="A65" s="95" t="inlineStr">
        <is>
          <t>DOMAIN: AD-HOC CALL-OUT SERVICES RATE CARD (AD-HOC SPECIALIZED SERVICES — ANNUALIZED CONTINGENCY EVALUATION BASKET)</t>
        </is>
      </c>
    </row>
    <row r="66" ht="40" customHeight="1">
      <c r="A66" s="80" t="inlineStr">
        <is>
          <t>CALL-01</t>
        </is>
      </c>
      <c r="B66" s="96" t="inlineStr">
        <is>
          <t>Specialized Tower Rigging Call-Out Service</t>
        </is>
      </c>
      <c r="C66" s="97" t="inlineStr">
        <is>
          <t>Ad-hoc mobilization of a certified tower climbing crew to execute non-standard physical antenna modifications: adjusting mechanical tilt, azimuth, or antenna mounting height upon structural reconfiguration or post-typhoon realignment.
• Inclusions: Rigging crew, climbing tackle, digital compass/inclinometer alignment, before/after photos.
• Exclusions: Supply of new replacement antennas.</t>
        </is>
      </c>
      <c r="D66" s="80" t="inlineStr">
        <is>
          <t>Per Sector</t>
        </is>
      </c>
      <c r="E66" s="98" t="n">
        <v>100</v>
      </c>
      <c r="F66" s="98" t="n">
        <v>500</v>
      </c>
      <c r="G66" s="80" t="inlineStr">
        <is>
          <t>Contingency Annual Basket</t>
        </is>
      </c>
      <c r="H66" s="99" t="n"/>
      <c r="I66" s="84">
        <f>H66*55</f>
        <v/>
      </c>
      <c r="J66" s="85">
        <f>E66*H66</f>
        <v/>
      </c>
      <c r="K66" s="85">
        <f>F66*H66</f>
        <v/>
      </c>
      <c r="L66" s="96" t="inlineStr">
        <is>
          <t>Ad-Hoc Contingency Rate Card (Unbudgeted Call-Off)</t>
        </is>
      </c>
      <c r="M66" s="96" t="inlineStr">
        <is>
          <t>Rigging Work Order Completion Sheet &amp; Re-alignment Certificate</t>
        </is>
      </c>
    </row>
    <row r="67" ht="40" customHeight="1">
      <c r="A67" s="80" t="inlineStr">
        <is>
          <t>CALL-02</t>
        </is>
      </c>
      <c r="B67" s="96" t="inlineStr">
        <is>
          <t>Emergency Typhoon Disaster Recovery Crew</t>
        </is>
      </c>
      <c r="C67" s="97" t="inlineStr">
        <is>
          <t>Rapid deployment of a specialized 4-man disaster recovery crew equipped with heavy-duty 4x4 vehicle, chainsaws, winches, heavy rigging tackle, and portable generator to clear fallen trees, re-erect toppled poles, and execute emergency structural stabilization post-typhoon.
• Inclusions: 4-man emergency crew, 4x4 vehicle, chainsaw, winch, generator, debris clearing gear.
• Exclusions: Supply of complete replacement steel towers.</t>
        </is>
      </c>
      <c r="D67" s="80" t="inlineStr">
        <is>
          <t>Per Crew / Day</t>
        </is>
      </c>
      <c r="E67" s="98" t="n">
        <v>50</v>
      </c>
      <c r="F67" s="98" t="n">
        <v>250</v>
      </c>
      <c r="G67" s="80" t="inlineStr">
        <is>
          <t>Contingency Annual Basket</t>
        </is>
      </c>
      <c r="H67" s="99" t="n"/>
      <c r="I67" s="84">
        <f>H67*55</f>
        <v/>
      </c>
      <c r="J67" s="85">
        <f>E67*H67</f>
        <v/>
      </c>
      <c r="K67" s="85">
        <f>F67*H67</f>
        <v/>
      </c>
      <c r="L67" s="96" t="inlineStr">
        <is>
          <t>Ad-Hoc Contingency Rate Card (Unbudgeted Call-Off)</t>
        </is>
      </c>
      <c r="M67" s="96" t="inlineStr">
        <is>
          <t>Disaster Recovery Timesheet &amp; Field Activity Report</t>
        </is>
      </c>
    </row>
    <row r="68" ht="40" customHeight="1">
      <c r="A68" s="80" t="inlineStr">
        <is>
          <t>CALL-03</t>
        </is>
      </c>
      <c r="B68" s="96" t="inlineStr">
        <is>
          <t>Mobile Emergency Generator Deployment &amp; Continuous Run</t>
        </is>
      </c>
      <c r="C68" s="97" t="inlineStr">
        <is>
          <t>Delivery, positioning, cabling, and commissioning of a mobile trailer-mounted 15–20 kVA diesel generator at a damaged site during extended utility grid blackouts; includes 48 hours of continuous operation, continuous refueling, and operator surveillance.
• Inclusions: Trailer genset delivery, connection cables, 48 hours continuous running, fuel, technician operator.
• Exclusions: Operation beyond 48 hours (billed as consecutive additional 48-hr call-out blocks).</t>
        </is>
      </c>
      <c r="D68" s="80" t="inlineStr">
        <is>
          <t>Per Deployment (48-hr block)</t>
        </is>
      </c>
      <c r="E68" s="98" t="n">
        <v>50</v>
      </c>
      <c r="F68" s="98" t="n">
        <v>250</v>
      </c>
      <c r="G68" s="80" t="inlineStr">
        <is>
          <t>Contingency Annual Basket</t>
        </is>
      </c>
      <c r="H68" s="99" t="n"/>
      <c r="I68" s="84">
        <f>H68*55</f>
        <v/>
      </c>
      <c r="J68" s="85">
        <f>E68*H68</f>
        <v/>
      </c>
      <c r="K68" s="85">
        <f>F68*H68</f>
        <v/>
      </c>
      <c r="L68" s="96" t="inlineStr">
        <is>
          <t>Ad-Hoc Contingency Rate Card (Unbudgeted Call-Off)</t>
        </is>
      </c>
      <c r="M68" s="96" t="inlineStr">
        <is>
          <t>Emergency Power Log &amp; Generator Run-Hour Telemetry</t>
        </is>
      </c>
    </row>
    <row r="69" ht="40" customHeight="1">
      <c r="A69" s="80" t="inlineStr">
        <is>
          <t>CALL-04</t>
        </is>
      </c>
      <c r="B69" s="96" t="inlineStr">
        <is>
          <t>Long-Span Optical Fiber Cable Restoration &amp; Splicing</t>
        </is>
      </c>
      <c r="C69" s="97" t="inlineStr">
        <is>
          <t>Emergency or planned restoration of major backhaul fiber cable cuts exceeding 500 meters: stringing replacement 24-core armored aerial or underground fiber cable, installing suspension clamps, fusion splicing at both splice closures, and testing optical loss.
• Inclusions: Cable stringing labor, suspension clamps, 2x fusion splice enclosures, OTDR testing.
• Exclusions: Supply of raw fiber optic cable (provided from operator inventory or billed separately).</t>
        </is>
      </c>
      <c r="D69" s="80" t="inlineStr">
        <is>
          <t>Per Span</t>
        </is>
      </c>
      <c r="E69" s="98" t="n">
        <v>20</v>
      </c>
      <c r="F69" s="98" t="n">
        <v>100</v>
      </c>
      <c r="G69" s="80" t="inlineStr">
        <is>
          <t>Contingency Annual Basket</t>
        </is>
      </c>
      <c r="H69" s="99" t="n"/>
      <c r="I69" s="84">
        <f>H69*55</f>
        <v/>
      </c>
      <c r="J69" s="85">
        <f>E69*H69</f>
        <v/>
      </c>
      <c r="K69" s="85">
        <f>F69*H69</f>
        <v/>
      </c>
      <c r="L69" s="96" t="inlineStr">
        <is>
          <t>Ad-Hoc Contingency Rate Card (Unbudgeted Call-Off)</t>
        </is>
      </c>
      <c r="M69" s="96" t="inlineStr">
        <is>
          <t>Bi-Directional OTDR Loss Trace &amp; Splicing Certificate</t>
        </is>
      </c>
    </row>
    <row r="70" ht="40" customHeight="1">
      <c r="A70" s="80" t="inlineStr">
        <is>
          <t>CALL-05</t>
        </is>
      </c>
      <c r="B70" s="96" t="inlineStr">
        <is>
          <t>Drone Structural, Panoramic &amp; Thermal Imaging Survey</t>
        </is>
      </c>
      <c r="C70" s="97" t="inlineStr">
        <is>
          <t>High-resolution aerial inspection utilizing drone equipped with 4K optical zoom and radiometric thermal sensor: auditing tower structural integrity, inspecting hard-to-reach antenna brackets, and detecting hotspot anomalies on power joints and cables.
• Inclusions: Licensed drone pilot, 4K video, high-res photos, radiometric thermal imaging, analysis report.
• Exclusions: Physical repairs to identified anomalies.</t>
        </is>
      </c>
      <c r="D70" s="80" t="inlineStr">
        <is>
          <t>Per Site Flight</t>
        </is>
      </c>
      <c r="E70" s="98" t="n">
        <v>50</v>
      </c>
      <c r="F70" s="98" t="n">
        <v>250</v>
      </c>
      <c r="G70" s="80" t="inlineStr">
        <is>
          <t>Contingency Annual Basket</t>
        </is>
      </c>
      <c r="H70" s="99" t="n"/>
      <c r="I70" s="84">
        <f>H70*55</f>
        <v/>
      </c>
      <c r="J70" s="85">
        <f>E70*H70</f>
        <v/>
      </c>
      <c r="K70" s="85">
        <f>F70*H70</f>
        <v/>
      </c>
      <c r="L70" s="96" t="inlineStr">
        <is>
          <t>Ad-Hoc Contingency Rate Card (Unbudgeted Call-Off)</t>
        </is>
      </c>
      <c r="M70" s="96" t="inlineStr">
        <is>
          <t>High-Resolution Aerial Video/Photo Suite &amp; Thermal Analysis Report</t>
        </is>
      </c>
    </row>
    <row r="71" ht="40" customHeight="1">
      <c r="A71" s="80" t="inlineStr">
        <is>
          <t>CALL-06</t>
        </is>
      </c>
      <c r="B71" s="96" t="inlineStr">
        <is>
          <t>Tower Structural Strengthening &amp; Leg Reinforcement</t>
        </is>
      </c>
      <c r="C71" s="97" t="inlineStr">
        <is>
          <t>Physical structural modification of existing tower or monopole: installing steel reinforcement members, flange stiffeners, cross-bracing, or guy wire tensioning based on approved PE structural engineering calculations.
• Inclusions: Steel fabrication, rigging installation, bolt torquing, cold galvanizing, PE sign-off.
• Exclusions: Supply of primary raw steel members (billed based on approved DED BoQ).</t>
        </is>
      </c>
      <c r="D71" s="80" t="inlineStr">
        <is>
          <t>Per Tower / Lump Sum based on DED</t>
        </is>
      </c>
      <c r="E71" s="98" t="n">
        <v>20</v>
      </c>
      <c r="F71" s="98" t="n">
        <v>100</v>
      </c>
      <c r="G71" s="80" t="inlineStr">
        <is>
          <t>Contingency Annual Basket</t>
        </is>
      </c>
      <c r="H71" s="99" t="n"/>
      <c r="I71" s="84">
        <f>H71*55</f>
        <v/>
      </c>
      <c r="J71" s="85">
        <f>E71*H71</f>
        <v/>
      </c>
      <c r="K71" s="85">
        <f>F71*H71</f>
        <v/>
      </c>
      <c r="L71" s="96" t="inlineStr">
        <is>
          <t>Ad-Hoc Contingency Rate Card (Unbudgeted Call-Off)</t>
        </is>
      </c>
      <c r="M71" s="96" t="inlineStr">
        <is>
          <t>As-Built Structural Strengthening Drawings &amp; PE Endorsement</t>
        </is>
      </c>
    </row>
    <row r="72" ht="40" customHeight="1">
      <c r="A72" s="80" t="inlineStr">
        <is>
          <t>CALL-07</t>
        </is>
      </c>
      <c r="B72" s="96" t="inlineStr">
        <is>
          <t>Specialized PIM Hunting &amp; Multi-Sector Interference Remediation</t>
        </is>
      </c>
      <c r="C72" s="97" t="inlineStr">
        <is>
          <t>Advanced on-site PIM testing utilizing specialized 2x20W PIM analyzer: identifying internal and external PIM sources, replacing corroded RF jumpers/connectors, and applying RF shielding tape/materials to achieve PIM &lt;= -155 dBc.
• Inclusions: Calibrated 2x20W PIM test gear, RF sweep, connector re-termination, shielding materials, sweep report.
• Exclusions: Replacement of damaged antenna internal phase shifters (OEM warranty).</t>
        </is>
      </c>
      <c r="D72" s="80" t="inlineStr">
        <is>
          <t>Per Site / Day</t>
        </is>
      </c>
      <c r="E72" s="98" t="n">
        <v>30</v>
      </c>
      <c r="F72" s="98" t="n">
        <v>150</v>
      </c>
      <c r="G72" s="80" t="inlineStr">
        <is>
          <t>Contingency Annual Basket</t>
        </is>
      </c>
      <c r="H72" s="99" t="n"/>
      <c r="I72" s="84">
        <f>H72*55</f>
        <v/>
      </c>
      <c r="J72" s="85">
        <f>E72*H72</f>
        <v/>
      </c>
      <c r="K72" s="85">
        <f>F72*H72</f>
        <v/>
      </c>
      <c r="L72" s="96" t="inlineStr">
        <is>
          <t>Ad-Hoc Contingency Rate Card (Unbudgeted Call-Off)</t>
        </is>
      </c>
      <c r="M72" s="96" t="inlineStr">
        <is>
          <t>Calibrated PIM Sweep Measurement Report</t>
        </is>
      </c>
    </row>
    <row r="73" ht="40" customHeight="1">
      <c r="A73" s="80" t="inlineStr">
        <is>
          <t>CALL-08</t>
        </is>
      </c>
      <c r="B73" s="96" t="inlineStr">
        <is>
          <t>Ad-Hoc Emergency Fuel Delivery &amp; Mobile Refueling</t>
        </is>
      </c>
      <c r="C73" s="97" t="inlineStr">
        <is>
          <t>Rapid procurement and transport of clean Euro-4 automotive diesel fuel in certified fuel containers to remote sites during prolonged grid emergencies, including manual transfer to day tank.
• Inclusions: Fuel procurement, dedicated transport, manual pumping into tank, fuel quality test.
• Exclusions: Cost of bulk commercial diesel fuel (reimbursed at actual pump receipt price).</t>
        </is>
      </c>
      <c r="D73" s="80" t="inlineStr">
        <is>
          <t>Per Liter Delivered</t>
        </is>
      </c>
      <c r="E73" s="98" t="n">
        <v>20000</v>
      </c>
      <c r="F73" s="98" t="n">
        <v>100000</v>
      </c>
      <c r="G73" s="80" t="inlineStr">
        <is>
          <t>Contingency Annual Basket</t>
        </is>
      </c>
      <c r="H73" s="99" t="n"/>
      <c r="I73" s="84">
        <f>H73*55</f>
        <v/>
      </c>
      <c r="J73" s="85">
        <f>E73*H73</f>
        <v/>
      </c>
      <c r="K73" s="85">
        <f>F73*H73</f>
        <v/>
      </c>
      <c r="L73" s="96" t="inlineStr">
        <is>
          <t>Ad-Hoc Contingency Rate Card (Unbudgeted Call-Off)</t>
        </is>
      </c>
      <c r="M73" s="96" t="inlineStr">
        <is>
          <t>Fuel Purchase Receipt &amp; Fuel Delivery Voucher</t>
        </is>
      </c>
    </row>
    <row r="75" ht="24" customHeight="1">
      <c r="A75" s="103" t="inlineStr">
        <is>
          <t>SUBTOTAL A1: STANDBY SAQ CONTINGENCY EVALUATION BASKET (103 SITES PH1 / 515 SITES PROG)</t>
        </is>
      </c>
      <c r="B75" s="79" t="n"/>
      <c r="C75" s="79" t="n"/>
      <c r="D75" s="79" t="n"/>
      <c r="E75" s="79" t="n"/>
      <c r="F75" s="79" t="n"/>
      <c r="G75" s="79" t="n"/>
      <c r="H75" s="79" t="n"/>
      <c r="I75" s="79" t="n"/>
      <c r="J75" s="104">
        <f>SUM(J7:J14)</f>
        <v/>
      </c>
      <c r="K75" s="104">
        <f>SUM(K7:K14)</f>
        <v/>
      </c>
      <c r="L75" s="105" t="inlineStr">
        <is>
          <t>Lot 5 Contingency Standby Rate Card (Billable strictly on Own-Build Work Orders)</t>
        </is>
      </c>
      <c r="M75" s="88" t="n"/>
    </row>
    <row r="76" ht="24" customHeight="1">
      <c r="A76" s="103" t="inlineStr">
        <is>
          <t>SUBTOTAL A2: CORE TURNKEY ROLLOUT SERVICES (1,000 SITES PH1 / 5,000 SITES PROG)</t>
        </is>
      </c>
      <c r="B76" s="79" t="n"/>
      <c r="C76" s="79" t="n"/>
      <c r="D76" s="79" t="n"/>
      <c r="E76" s="79" t="n"/>
      <c r="F76" s="79" t="n"/>
      <c r="G76" s="79" t="n"/>
      <c r="H76" s="79" t="n"/>
      <c r="I76" s="79" t="n"/>
      <c r="J76" s="104">
        <f>SUM(J16:J42)</f>
        <v/>
      </c>
      <c r="K76" s="104">
        <f>SUM(K16:K42)</f>
        <v/>
      </c>
      <c r="L76" s="105" t="inlineStr">
        <is>
          <t>Lot 5 Core Turnkey Deployment Baseline (Committed Rollout Scope)</t>
        </is>
      </c>
      <c r="M76" s="88" t="n"/>
    </row>
    <row r="77" ht="26" customHeight="1">
      <c r="A77" s="106" t="inlineStr">
        <is>
          <t>SUBTOTAL A: TOTAL TURNKEY ROLLOUT SERVICES (LOT 5 RECONCILED BASELINE) [USD]</t>
        </is>
      </c>
      <c r="B77" s="79" t="n"/>
      <c r="C77" s="79" t="n"/>
      <c r="D77" s="79" t="n"/>
      <c r="E77" s="79" t="n"/>
      <c r="F77" s="79" t="n"/>
      <c r="G77" s="79" t="n"/>
      <c r="H77" s="79" t="n"/>
      <c r="I77" s="79" t="n"/>
      <c r="J77" s="107">
        <f>J75+J76</f>
        <v/>
      </c>
      <c r="K77" s="107">
        <f>K75+K76</f>
        <v/>
      </c>
      <c r="L77" s="108" t="inlineStr">
        <is>
          <t>Reconciles to RFP Lot 5 / Form C Row 6 (Turnkey Site Acq, Engineering &amp; Civils)</t>
        </is>
      </c>
      <c r="M77" s="109" t="n"/>
    </row>
    <row r="78" ht="24" customHeight="1">
      <c r="A78" s="103" t="inlineStr">
        <is>
          <t>SUBTOTAL B1: ANNUALIZED 24/7 MANAGED O&amp;M SERVICES (12-MONTH EVALUATION) [USD/YEAR]</t>
        </is>
      </c>
      <c r="B78" s="79" t="n"/>
      <c r="C78" s="79" t="n"/>
      <c r="D78" s="79" t="n"/>
      <c r="E78" s="79" t="n"/>
      <c r="F78" s="79" t="n"/>
      <c r="G78" s="79" t="n"/>
      <c r="H78" s="79" t="n"/>
      <c r="I78" s="79" t="n"/>
      <c r="J78" s="104">
        <f>SUM(J44:J64)</f>
        <v/>
      </c>
      <c r="K78" s="104">
        <f>SUM(K44:K64)</f>
        <v/>
      </c>
      <c r="L78" s="105" t="inlineStr">
        <is>
          <t>Annual 1-Year O&amp;M Rate Card (NOC, FLM, PM Modules A-E, SPMS, RNO)</t>
        </is>
      </c>
      <c r="M78" s="88" t="n"/>
    </row>
    <row r="79" ht="26" customHeight="1">
      <c r="A79" s="106" t="inlineStr">
        <is>
          <t>SUBTOTAL B2: 3-YEAR MANAGED O&amp;M CONTRACTUAL PROGRAM TOTAL (36 MONTHS — LOT 6 BASELINE) [USD]</t>
        </is>
      </c>
      <c r="B79" s="79" t="n"/>
      <c r="C79" s="79" t="n"/>
      <c r="D79" s="79" t="n"/>
      <c r="E79" s="79" t="n"/>
      <c r="F79" s="79" t="n"/>
      <c r="G79" s="79" t="n"/>
      <c r="H79" s="79" t="n"/>
      <c r="I79" s="79" t="n"/>
      <c r="J79" s="107">
        <f>J78*3</f>
        <v/>
      </c>
      <c r="K79" s="107">
        <f>K78*3</f>
        <v/>
      </c>
      <c r="L79" s="108" t="inlineStr">
        <is>
          <t>Reconciles to RFP Lot 6 3-Year Managed Services Contract &amp; Form C Row 11 (Yrs 1-3)</t>
        </is>
      </c>
      <c r="M79" s="109" t="n"/>
    </row>
    <row r="80" ht="24" customHeight="1">
      <c r="A80" s="103" t="inlineStr">
        <is>
          <t>SUBTOTAL C: AD-HOC CALL-OUT CONTINGENCY EVALUATION BASKET (NOMINAL ANNUAL CALL-OFF) [USD]</t>
        </is>
      </c>
      <c r="B80" s="79" t="n"/>
      <c r="C80" s="79" t="n"/>
      <c r="D80" s="79" t="n"/>
      <c r="E80" s="79" t="n"/>
      <c r="F80" s="79" t="n"/>
      <c r="G80" s="79" t="n"/>
      <c r="H80" s="79" t="n"/>
      <c r="I80" s="79" t="n"/>
      <c r="J80" s="104">
        <f>SUM(J66:J73)</f>
        <v/>
      </c>
      <c r="K80" s="104">
        <f>SUM(K66:K73)</f>
        <v/>
      </c>
      <c r="L80" s="105" t="inlineStr">
        <is>
          <t>Governing Call-Out Ceiling Rates (Typhoon, Mobile Genset, Fiber Splicing, Drone, Refueling)</t>
        </is>
      </c>
      <c r="M80" s="88" t="n"/>
    </row>
    <row r="81" ht="28" customHeight="1">
      <c r="A81" s="110" t="inlineStr">
        <is>
          <t>GRAND TOTAL: RECONCILED EVALUATED SERVICES TCO (ROLLOUT + 3-YEAR O&amp;M + CALL-OUT BASKET) [USD]</t>
        </is>
      </c>
      <c r="B81" s="111" t="n"/>
      <c r="C81" s="111" t="n"/>
      <c r="D81" s="111" t="n"/>
      <c r="E81" s="111" t="n"/>
      <c r="F81" s="111" t="n"/>
      <c r="G81" s="111" t="n"/>
      <c r="H81" s="111" t="n"/>
      <c r="I81" s="111" t="n"/>
      <c r="J81" s="112">
        <f>J77+J79+J80</f>
        <v/>
      </c>
      <c r="K81" s="112">
        <f>K77+K79+K80</f>
        <v/>
      </c>
      <c r="L81" s="113" t="inlineStr">
        <is>
          <t>Official Evaluated Commercial Score Basis for Master Services SOW</t>
        </is>
      </c>
      <c r="M81" s="114" t="n"/>
    </row>
    <row r="82" ht="28" customHeight="1">
      <c r="A82" s="110" t="inlineStr">
        <is>
          <t>GRAND TOTAL EQUIVALENT IN PHILIPPINE PESO (PHP @ 55.00 FX BASELINE)</t>
        </is>
      </c>
      <c r="B82" s="111" t="n"/>
      <c r="C82" s="111" t="n"/>
      <c r="D82" s="111" t="n"/>
      <c r="E82" s="111" t="n"/>
      <c r="F82" s="111" t="n"/>
      <c r="G82" s="111" t="n"/>
      <c r="H82" s="111" t="n"/>
      <c r="I82" s="111" t="n"/>
      <c r="J82" s="115">
        <f>J81*55</f>
        <v/>
      </c>
      <c r="K82" s="115">
        <f>K81*55</f>
        <v/>
      </c>
      <c r="L82" s="113" t="inlineStr">
        <is>
          <t>Baseline Contract Conversion at Official Tender FX Rate</t>
        </is>
      </c>
      <c r="M82" s="114" t="n"/>
    </row>
    <row r="84" ht="26" customHeight="1">
      <c r="A84" s="116" t="inlineStr">
        <is>
          <t>FORMAL LOT &amp; FORM C (10-YEAR TCO) RECONCILIATION MAPPING MATRIX</t>
        </is>
      </c>
    </row>
    <row r="85" ht="24" customHeight="1">
      <c r="A85" s="117" t="inlineStr">
        <is>
          <t>RFP Commercial Lot / TCO Line Item</t>
        </is>
      </c>
      <c r="B85" s="117" t="n"/>
      <c r="C85" s="117" t="n"/>
      <c r="D85" s="117" t="inlineStr">
        <is>
          <t>Services SOW &amp; Rate Card Mapping</t>
        </is>
      </c>
      <c r="E85" s="117" t="n"/>
      <c r="F85" s="117" t="n"/>
      <c r="G85" s="117" t="inlineStr">
        <is>
          <t>Phase 1 Formula / Evaluation Link</t>
        </is>
      </c>
      <c r="H85" s="117" t="n"/>
      <c r="I85" s="117" t="inlineStr">
        <is>
          <t>Contractual &amp; Governance Treatment</t>
        </is>
      </c>
      <c r="J85" s="117" t="n"/>
      <c r="K85" s="117" t="n"/>
      <c r="L85" s="117" t="n"/>
      <c r="M85" s="117" t="n"/>
    </row>
    <row r="86" ht="52" customHeight="1">
      <c r="A86" s="118" t="inlineStr">
        <is>
          <t>Lot 5: Site Acquisition, TSSR &amp; Civil Works
(Form C Row 6 Component)</t>
        </is>
      </c>
      <c r="B86" s="119" t="n"/>
      <c r="C86" s="119" t="n"/>
      <c r="D86" s="119" t="inlineStr">
        <is>
          <t>Reconciles directly with SUBTOTAL A:
• Subtotal A1: Standby SAQ Basket (103 Sites)
• Subtotal A2: Core Turnkey Rollout (1,000 Sites)</t>
        </is>
      </c>
      <c r="E86" s="119" t="n"/>
      <c r="F86" s="119" t="n"/>
      <c r="G86" s="120">
        <f>J77 (Total Turnkey Rollout USD)</f>
        <v/>
      </c>
      <c r="H86" s="119" t="n"/>
      <c r="I86" s="119" t="inlineStr">
        <is>
          <t>Provides transparent itemized bottom-up rate card for Lot 5. In baseline tender, Bidders quote Lot 5 turnkey lump-sum on Sheet 'Lot 5 - Site Acq &amp; Civils'. Category A establishes the governing unit rate card for site additions, deductions, and scope variations during deployment.</t>
        </is>
      </c>
      <c r="J86" s="119" t="n"/>
      <c r="K86" s="119" t="n"/>
      <c r="L86" s="119" t="n"/>
      <c r="M86" s="119" t="n"/>
    </row>
    <row r="87" ht="52" customHeight="1">
      <c r="A87" s="118" t="inlineStr">
        <is>
          <t>Lot 6: Managed Services &amp; 24/7 Operations
(Form C Row 11: Annual O&amp;M Yrs 1-3)</t>
        </is>
      </c>
      <c r="B87" s="119" t="n"/>
      <c r="C87" s="119" t="n"/>
      <c r="D87" s="119" t="inlineStr">
        <is>
          <t>Reconciles directly with SUBTOTAL B1 &amp; B2:
• Subtotal B1: Annualized Managed O&amp;M (1 Year)
• Subtotal B2: 3-Year Contractual Baseline (3 Years)</t>
        </is>
      </c>
      <c r="E87" s="119" t="n"/>
      <c r="F87" s="119" t="n"/>
      <c r="G87" s="120" t="inlineStr">
        <is>
          <t>Annual: =J78 (USD/Yr)
3-Year: =J79 (USD Total)</t>
        </is>
      </c>
      <c r="H87" s="119" t="n"/>
      <c r="I87" s="119" t="inlineStr">
        <is>
          <t>Provides detailed module-level rate card for Lot 6 (NOC, FLM, PM Modules A-E, SPMS, RNO). Form C Row 11 applies the annualized rate across the 1,000 Phase 1 sites. Retainer-included items (FLM-02..04, SPM-02..03) are contractually bundled at $0.00 to guarantee zero double-charging.</t>
        </is>
      </c>
      <c r="J87" s="119" t="n"/>
      <c r="K87" s="119" t="n"/>
      <c r="L87" s="119" t="n"/>
      <c r="M87" s="119" t="n"/>
    </row>
    <row r="88" ht="52" customHeight="1">
      <c r="A88" s="118" t="inlineStr">
        <is>
          <t>Contingency Standby SAQ Rate Card
(Tier 3 Operator Own-Build Basket)</t>
        </is>
      </c>
      <c r="B88" s="119" t="n"/>
      <c r="C88" s="119" t="n"/>
      <c r="D88" s="119" t="inlineStr">
        <is>
          <t>Items SAQ-01 through SAQ-08
(Nominal 103 Sites / 10.3% Own-Build Basket)</t>
        </is>
      </c>
      <c r="E88" s="119" t="n"/>
      <c r="F88" s="119" t="n"/>
      <c r="G88" s="120">
        <f>J75 (Evaluated Contingency Basket)</f>
        <v/>
      </c>
      <c r="H88" s="119" t="n"/>
      <c r="I88" s="119" t="inlineStr">
        <is>
          <t>STANDBY RATE CARD ONLY. Operational baseline is TowerCo-acquired under MLA (897 Co-Location / 103 B2S). These rates are billable strictly upon written Work Order issued by TelTech for authorized Operator Self-Acquired sites.</t>
        </is>
      </c>
      <c r="J88" s="119" t="n"/>
      <c r="K88" s="119" t="n"/>
      <c r="L88" s="119" t="n"/>
      <c r="M88" s="119" t="n"/>
    </row>
    <row r="89" ht="52" customHeight="1">
      <c r="A89" s="118" t="inlineStr">
        <is>
          <t>Ad-Hoc Specialized Services Rate Card
(Master Agreement Schedule of Rates)</t>
        </is>
      </c>
      <c r="B89" s="119" t="n"/>
      <c r="C89" s="119" t="n"/>
      <c r="D89" s="119" t="inlineStr">
        <is>
          <t>Items CALL-01 through CALL-08
(Specialized Rigging, Emergency Genset, Fiber Splicing, Drone, Refueling)</t>
        </is>
      </c>
      <c r="E89" s="119" t="n"/>
      <c r="F89" s="119" t="n"/>
      <c r="G89" s="120">
        <f>J80 (Annual Evaluated Basket)</f>
        <v/>
      </c>
      <c r="H89" s="119" t="n"/>
      <c r="I89" s="119" t="inlineStr">
        <is>
          <t>Ceiling rate card for unbudgeted emergency restoration, force majeure events, and specialized engineering call-offs. Billable strictly per approved mobilization event or verified consumption (e.g. metered fuel liters).</t>
        </is>
      </c>
      <c r="J89" s="119" t="n"/>
      <c r="K89" s="119" t="n"/>
      <c r="L89" s="119" t="n"/>
      <c r="M89" s="119" t="n"/>
    </row>
  </sheetData>
  <mergeCells count="41">
    <mergeCell ref="G86:H86"/>
    <mergeCell ref="A75:I75"/>
    <mergeCell ref="A89:C89"/>
    <mergeCell ref="A22:M22"/>
    <mergeCell ref="A35:M35"/>
    <mergeCell ref="A80:I80"/>
    <mergeCell ref="I86:M86"/>
    <mergeCell ref="I89:M89"/>
    <mergeCell ref="A29:M29"/>
    <mergeCell ref="A43:M43"/>
    <mergeCell ref="A86:C86"/>
    <mergeCell ref="D87:F87"/>
    <mergeCell ref="A85:C85"/>
    <mergeCell ref="A76:I76"/>
    <mergeCell ref="I85:M85"/>
    <mergeCell ref="A39:M39"/>
    <mergeCell ref="A15:M15"/>
    <mergeCell ref="G87:H87"/>
    <mergeCell ref="I87:M87"/>
    <mergeCell ref="A81:I81"/>
    <mergeCell ref="D89:F89"/>
    <mergeCell ref="A1:M1"/>
    <mergeCell ref="A6:M6"/>
    <mergeCell ref="D85:F85"/>
    <mergeCell ref="D88:F88"/>
    <mergeCell ref="G89:H89"/>
    <mergeCell ref="A77:I77"/>
    <mergeCell ref="A65:M65"/>
    <mergeCell ref="A25:M25"/>
    <mergeCell ref="G88:H88"/>
    <mergeCell ref="A82:I82"/>
    <mergeCell ref="A84:M84"/>
    <mergeCell ref="I88:M88"/>
    <mergeCell ref="G85:H85"/>
    <mergeCell ref="A88:C88"/>
    <mergeCell ref="A3:M3"/>
    <mergeCell ref="A79:I79"/>
    <mergeCell ref="A87:C87"/>
    <mergeCell ref="D86:F86"/>
    <mergeCell ref="A2:M2"/>
    <mergeCell ref="A78:I7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8"/>
  <sheetViews>
    <sheetView showGridLines="1" workbookViewId="0">
      <selection activeCell="A1" sqref="A1"/>
    </sheetView>
  </sheetViews>
  <sheetFormatPr baseColWidth="8" defaultRowHeight="15"/>
  <cols>
    <col width="20" customWidth="1" min="1" max="1"/>
    <col width="34" customWidth="1" min="2" max="2"/>
    <col width="45" customWidth="1" min="3" max="3"/>
    <col width="20" customWidth="1" min="4" max="4"/>
    <col width="20" customWidth="1" min="5" max="5"/>
    <col width="20" customWidth="1" min="6" max="6"/>
    <col width="20" customWidth="1" min="7" max="7"/>
    <col width="20" customWidth="1" min="8" max="8"/>
  </cols>
  <sheetData>
    <row r="1">
      <c r="A1" s="1" t="inlineStr">
        <is>
          <t>LOT 7: 5G HIGH-GAIN CUSTOMER PREMISES EQUIPMENT (CPE)</t>
        </is>
      </c>
    </row>
    <row r="2">
      <c r="A2" t="inlineStr">
        <is>
          <t>Official Bidding Bill of Quantities — Enter Quoted Unit Rate in Column F</t>
        </is>
      </c>
    </row>
    <row r="4">
      <c r="A4" s="4" t="inlineStr">
        <is>
          <t>Item Code</t>
        </is>
      </c>
      <c r="B4" s="4" t="inlineStr">
        <is>
          <t>CPE Terminal Model</t>
        </is>
      </c>
      <c r="C4" s="4" t="inlineStr">
        <is>
          <t>Technical Specifications</t>
        </is>
      </c>
      <c r="D4" s="4" t="inlineStr">
        <is>
          <t>Target Order Qty (P1)</t>
        </is>
      </c>
      <c r="E4" s="4" t="inlineStr">
        <is>
          <t>UoM</t>
        </is>
      </c>
      <c r="F4" s="4" t="inlineStr">
        <is>
          <t>Unit Rate (USD) [Bidder Input]</t>
        </is>
      </c>
      <c r="G4" s="4" t="inlineStr">
        <is>
          <t>Total Phase 1 Cost (USD)</t>
        </is>
      </c>
      <c r="H4" s="4" t="inlineStr">
        <is>
          <t>Remarks / Bidder Model</t>
        </is>
      </c>
    </row>
    <row r="5">
      <c r="A5" s="34" t="inlineStr">
        <is>
          <t>CPE-01</t>
        </is>
      </c>
      <c r="B5" s="34" t="inlineStr">
        <is>
          <t>Indoor 5G High-Gain FWA Router</t>
        </is>
      </c>
      <c r="C5" s="34" t="inlineStr">
        <is>
          <t>Band n50 native, &gt;=8.0 dBi internal antenna, Wi-Fi 6 AX1800/AX3000, 1x 2.5GE + 2x 1GE ports, TR-069/TR-369</t>
        </is>
      </c>
      <c r="D5" s="34" t="n">
        <v>350000</v>
      </c>
      <c r="E5" s="34" t="inlineStr">
        <is>
          <t>units</t>
        </is>
      </c>
      <c r="F5" s="35" t="n"/>
      <c r="G5" s="36">
        <f>D5*F5</f>
        <v/>
      </c>
      <c r="H5" s="34" t="n"/>
    </row>
    <row r="6">
      <c r="A6" s="34" t="inlineStr">
        <is>
          <t>CPE-02</t>
        </is>
      </c>
      <c r="B6" s="34" t="inlineStr">
        <is>
          <t>Outdoor 5G High-Gain FWA Terminal Package</t>
        </is>
      </c>
      <c r="C6" s="34" t="inlineStr">
        <is>
          <t>Band n50, IP67 enclosure, &gt;=12.0 dBi directional antenna, 1x 2.5GE PoE, bundled indoor Wi-Fi 6 router &amp; PoE injector</t>
        </is>
      </c>
      <c r="D6" s="34" t="n">
        <v>15000</v>
      </c>
      <c r="E6" s="34" t="inlineStr">
        <is>
          <t>units</t>
        </is>
      </c>
      <c r="F6" s="35" t="n"/>
      <c r="G6" s="36">
        <f>D6*F6</f>
        <v/>
      </c>
      <c r="H6" s="34" t="n"/>
    </row>
    <row r="7">
      <c r="A7" s="34" t="inlineStr">
        <is>
          <t>CPE-SVC</t>
        </is>
      </c>
      <c r="B7" s="34" t="inlineStr">
        <is>
          <t>Device Staging, Pre-Configuration &amp; SIM Locking</t>
        </is>
      </c>
      <c r="C7" s="34" t="inlineStr">
        <is>
          <t>Firmware customization, operator APN &amp; SIM locking, custom retail packaging for all Phase 1 terminals</t>
        </is>
      </c>
      <c r="D7" s="34" t="n">
        <v>365000</v>
      </c>
      <c r="E7" s="34" t="inlineStr">
        <is>
          <t>units</t>
        </is>
      </c>
      <c r="F7" s="35" t="n"/>
      <c r="G7" s="36">
        <f>D7*F7</f>
        <v/>
      </c>
      <c r="H7" s="34" t="n"/>
    </row>
    <row r="8">
      <c r="A8" s="26" t="inlineStr">
        <is>
          <t>TOTAL-LOT7</t>
        </is>
      </c>
      <c r="B8" s="27" t="inlineStr">
        <is>
          <t>TOTAL 5G CUSTOMER PREMISES EQUIPMENT (CPE)</t>
        </is>
      </c>
      <c r="C8" s="27" t="inlineStr">
        <is>
          <t>Total Initial Terminal Supply &amp; Staging (365,000 Total Devices)</t>
        </is>
      </c>
      <c r="D8" s="26" t="n">
        <v>365000</v>
      </c>
      <c r="E8" s="26" t="inlineStr">
        <is>
          <t>units</t>
        </is>
      </c>
      <c r="F8" s="33" t="inlineStr"/>
      <c r="G8" s="28">
        <f>SUM(G5:G7)</f>
        <v/>
      </c>
      <c r="H8" s="27" t="inlineStr">
        <is>
          <t>Evaluated Lot 7 Total</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sheetData>
    <row r="1">
      <c r="A1" t="inlineStr">
        <is>
          <t>Telecommunications Technology Solutions Incorporated (TelTech)</t>
        </is>
      </c>
    </row>
    <row r="2">
      <c r="A2" t="inlineStr">
        <is>
          <t>Form C: Phase 1 (1,000 Sites) 10-Year Baseline Lifecycle Total Cost of Ownership (TCO)</t>
        </is>
      </c>
    </row>
    <row r="3">
      <c r="A3" t="inlineStr">
        <is>
          <t>Tender Ref: RFP-TELTECH-FWA-2026-001 | Baseline Evaluation: Committed 1,000 Sites (Lots 1, 2, 5 Turnkey) | Expansion Yrs 2-5 Call-Off</t>
        </is>
      </c>
    </row>
    <row r="5">
      <c r="A5" s="37" t="inlineStr">
        <is>
          <t>Cost Category / Lifecycle Element</t>
        </is>
      </c>
      <c r="B5" s="37" t="inlineStr">
        <is>
          <t>Phase 1 Capex (Yr 1)</t>
        </is>
      </c>
      <c r="C5" s="37" t="inlineStr">
        <is>
          <t>Yr 2</t>
        </is>
      </c>
      <c r="D5" s="37" t="inlineStr">
        <is>
          <t>Yr 3</t>
        </is>
      </c>
      <c r="E5" s="37" t="inlineStr">
        <is>
          <t>Yr 4</t>
        </is>
      </c>
      <c r="F5" s="37" t="inlineStr">
        <is>
          <t>Yr 5</t>
        </is>
      </c>
      <c r="G5" s="37" t="inlineStr">
        <is>
          <t>Yrs 6-10 Cumulative</t>
        </is>
      </c>
      <c r="H5" s="37" t="inlineStr">
        <is>
          <t>10-Year Total TCO (USD)</t>
        </is>
      </c>
      <c r="I5" s="37" t="inlineStr">
        <is>
          <t>Notes &amp; Pricing Assumptions</t>
        </is>
      </c>
    </row>
    <row r="6">
      <c r="A6" t="inlineStr">
        <is>
          <t>1. 5G RAN &amp; Site Infrastructure Capex (Lots 1, 2, 5)</t>
        </is>
      </c>
      <c r="B6">
        <f>'Lot 1 - RAN &amp; Rollout'!H17+'Lot 2 - Power &amp; Passive'!I9+'Lot 5 - Site Acq &amp; Civils'!I14</f>
        <v/>
      </c>
      <c r="C6" t="n">
        <v>0</v>
      </c>
      <c r="D6" t="n">
        <v>0</v>
      </c>
      <c r="E6" t="n">
        <v>0</v>
      </c>
      <c r="F6" t="n">
        <v>0</v>
      </c>
      <c r="G6" t="n">
        <v>0</v>
      </c>
      <c r="H6">
        <f>SUM(B6:G6)</f>
        <v/>
      </c>
      <c r="I6" t="inlineStr">
        <is>
          <t>[Evaluated Tender Input] Initial 1,000 sites turnkey rollout (Lots 1, 2, 5 Phase 1 Totals). Expansion Yrs 2-5 Capex evaluated via contractual call-off rate card.</t>
        </is>
      </c>
    </row>
    <row r="7">
      <c r="A7" t="inlineStr">
        <is>
          <t>2. 5G Core Network &amp; Cloud Infrastructure (Lot 3)</t>
        </is>
      </c>
      <c r="B7">
        <f>'Lot 3 - 5G Core'!F13</f>
        <v/>
      </c>
      <c r="C7" t="n">
        <v>0</v>
      </c>
      <c r="D7" t="n">
        <v>0</v>
      </c>
      <c r="E7" t="n">
        <v>0</v>
      </c>
      <c r="F7" t="n">
        <v>0</v>
      </c>
      <c r="G7" t="n">
        <v>0</v>
      </c>
      <c r="H7">
        <f>SUM(B7:G7)</f>
        <v/>
      </c>
      <c r="I7" t="inlineStr">
        <is>
          <t>[Evaluated Tender Input] Day-1 Core &amp; DC infrastructure dimensioned for 1.0M subscribers (perpetual license + compute fabric).</t>
        </is>
      </c>
    </row>
    <row r="8">
      <c r="A8" t="inlineStr">
        <is>
          <t>3. Digital OSS/BSS &amp; Automation (Lot 4)</t>
        </is>
      </c>
      <c r="B8">
        <f>'Lot 4 - OSS-BSS'!F15</f>
        <v/>
      </c>
      <c r="C8" t="n">
        <v>0</v>
      </c>
      <c r="D8" t="n">
        <v>0</v>
      </c>
      <c r="E8" t="n">
        <v>0</v>
      </c>
      <c r="F8" t="n">
        <v>0</v>
      </c>
      <c r="G8" t="n">
        <v>0</v>
      </c>
      <c r="H8">
        <f>SUM(B8:G8)</f>
        <v/>
      </c>
      <c r="I8" t="inlineStr">
        <is>
          <t>[Evaluated Tender Input] Turnkey BSS/OSS stack, CRM, prepaid billing, and FMS dispatch engine.</t>
        </is>
      </c>
    </row>
    <row r="9">
      <c r="A9" t="inlineStr">
        <is>
          <t>4. 5G CPE Terminals Supply (Lot 7)</t>
        </is>
      </c>
      <c r="B9">
        <f>'Lot 7 - 5G CPE'!G8</f>
        <v/>
      </c>
      <c r="C9" t="n">
        <v>0</v>
      </c>
      <c r="D9" t="n">
        <v>0</v>
      </c>
      <c r="E9" t="n">
        <v>0</v>
      </c>
      <c r="F9" t="n">
        <v>0</v>
      </c>
      <c r="G9" t="n">
        <v>0</v>
      </c>
      <c r="H9">
        <f>SUM(B9:G9)</f>
        <v/>
      </c>
      <c r="I9" t="inlineStr">
        <is>
          <t>[Evaluated Tender Input] Phase 1 initial supply of 365,000 subscriber terminals (350k indoor + 15k outdoor).</t>
        </is>
      </c>
    </row>
    <row r="10">
      <c r="A10" t="inlineStr">
        <is>
          <t>5. Annual Maintenance Contract (AMC) &amp; Support (Lots 3 + 4)</t>
        </is>
      </c>
      <c r="B10" t="n">
        <v>0</v>
      </c>
      <c r="C10">
        <f>('Lot 3 - 5G Core'!F13*0.10)+('Lot 4 - OSS-BSS'!F15*0.10)</f>
        <v/>
      </c>
      <c r="D10">
        <f>('Lot 3 - 5G Core'!F13*0.10)+('Lot 4 - OSS-BSS'!F15*0.10)</f>
        <v/>
      </c>
      <c r="E10">
        <f>('Lot 3 - 5G Core'!F13*0.10)+('Lot 4 - OSS-BSS'!F15*0.10)</f>
        <v/>
      </c>
      <c r="F10">
        <f>('Lot 3 - 5G Core'!F13*0.10)+('Lot 4 - OSS-BSS'!F15*0.10)</f>
        <v/>
      </c>
      <c r="G10">
        <f>(('Lot 3 - 5G Core'!F13*0.10)+('Lot 4 - OSS-BSS'!F15*0.10))*5</f>
        <v/>
      </c>
      <c r="H10">
        <f>SUM(B10:G10)</f>
        <v/>
      </c>
      <c r="I10" t="inlineStr">
        <is>
          <t>[Prescribed Evaluated Parameter] Standard 10.0% p.a. Annual Maintenance Contract (AMC) &amp; Technical Support based on combined Total Year 1 Turnkey Capex of Lot 3 (5G Core) and Lot 4 (OSS/BSS), commencing in Year 2 post-warranty.</t>
        </is>
      </c>
    </row>
    <row r="11">
      <c r="A11" t="inlineStr">
        <is>
          <t>6. Managed Services &amp; Field Operations (Lot 6)</t>
        </is>
      </c>
      <c r="B11">
        <f>'Lot 6 - Managed Services'!G10*1000</f>
        <v/>
      </c>
      <c r="C11">
        <f>'Lot 6 - Managed Services'!G10*1000</f>
        <v/>
      </c>
      <c r="D11">
        <f>'Lot 6 - Managed Services'!G10*1000</f>
        <v/>
      </c>
      <c r="E11">
        <f>'Lot 6 - Managed Services'!G10*1000</f>
        <v/>
      </c>
      <c r="F11">
        <f>'Lot 6 - Managed Services'!G10*1000</f>
        <v/>
      </c>
      <c r="G11">
        <f>'Lot 6 - Managed Services'!G10*1000*5</f>
        <v/>
      </c>
      <c r="H11">
        <f>SUM(B11:G11)</f>
        <v/>
      </c>
      <c r="I11" t="inlineStr">
        <is>
          <t>[Prescribed Evaluated Parameter] Evaluated on Phase 1 network baseline (1,000 sites footprint @ Lot 6 quoted annual rate). Scales proportionately upon expansion call-off.</t>
        </is>
      </c>
    </row>
    <row r="12">
      <c r="A12" t="inlineStr">
        <is>
          <t>7. Spare Parts Float &amp; RMA Replenishment</t>
        </is>
      </c>
      <c r="B12">
        <f>B6*0.02</f>
        <v/>
      </c>
      <c r="C12">
        <f>B6*0.01</f>
        <v/>
      </c>
      <c r="D12">
        <f>B6*0.01</f>
        <v/>
      </c>
      <c r="E12">
        <f>B6*0.01</f>
        <v/>
      </c>
      <c r="F12">
        <f>B6*0.01</f>
        <v/>
      </c>
      <c r="G12">
        <f>B6*0.05</f>
        <v/>
      </c>
      <c r="H12">
        <f>SUM(B12:G12)</f>
        <v/>
      </c>
      <c r="I12" t="inlineStr">
        <is>
          <t>[Prescribed Evaluated Parameter] 2.0% initial spares float in Yr 1, 1.0% annual replenishment in Yrs 2-5, and 5.0% cumulative in Yrs 6-10.</t>
        </is>
      </c>
    </row>
    <row r="13">
      <c r="A13" s="38" t="inlineStr">
        <is>
          <t>TOTAL EVALUATED 10-YEAR TCO (USD) — Phase 1 Network Baseline</t>
        </is>
      </c>
      <c r="B13" s="38">
        <f>SUM(B6:B12)</f>
        <v/>
      </c>
      <c r="C13" s="38">
        <f>SUM(C6:C12)</f>
        <v/>
      </c>
      <c r="D13" s="38">
        <f>SUM(D6:D12)</f>
        <v/>
      </c>
      <c r="E13" s="38">
        <f>SUM(E6:E12)</f>
        <v/>
      </c>
      <c r="F13" s="38">
        <f>SUM(F6:F12)</f>
        <v/>
      </c>
      <c r="G13" s="38">
        <f>SUM(G6:G12)</f>
        <v/>
      </c>
      <c r="H13" s="38">
        <f>SUM(H6:H12)</f>
        <v/>
      </c>
      <c r="I13" s="38" t="inlineStr">
        <is>
          <t>Evaluated Total Lifecycle Cost of Ownership for Phase 1 Baseline</t>
        </is>
      </c>
    </row>
    <row r="15">
      <c r="A15" s="66" t="inlineStr">
        <is>
          <t>Note: This schedule establishes the official evaluated 10-Year Lifecycle TCO for the committed Phase 1 network baseline (1,000 macro BTS sites). Expansion Capex for Years 2 to 5 (Phases 2 to 5, 1,000 sites/year up to 5,000 sites total) is governed by the firm unit rates in Lots 1, 2, 5, and 7 under contractual call-off options (Section 4.5).</t>
        </is>
      </c>
    </row>
    <row r="17">
      <c r="A17" s="121" t="inlineStr">
        <is>
          <t>RECONCILIATION NOTE — MASTER SERVICES SOW &amp; RATE CARD INTEGRATION:</t>
        </is>
      </c>
    </row>
    <row r="18" ht="36" customHeight="1">
      <c r="A18" s="122" t="inlineStr">
        <is>
          <t>• Lot 5 (Line 1 Capex Component): Turnkey Site Acquisition, TSSR &amp; Civil Infrastructure reconciles with Sheet 'Services SOW &amp; Rate Card' Subtotal A (Cells J77 Phase 1 / K77 Program). Category 1 SAQ rates serve as standby own-build rates (10.3% contingency basket).
• Lot 6 (Line 6 Annual Managed Services Component): 24/7 Managed Operations &amp; Maintenance reconciles with Sheet 'Services SOW &amp; Rate Card' Subtotal B1 (Cell J78 Phase 1 Annualized O&amp;M) and Subtotal B2 (Cell J79 3-Year Contractual Total). Retainer-included services evaluate at $0.00.</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13"/>
  <sheetViews>
    <sheetView showGridLines="1" workbookViewId="0">
      <selection activeCell="A1" sqref="A1"/>
    </sheetView>
  </sheetViews>
  <sheetFormatPr baseColWidth="8" defaultRowHeight="15"/>
  <cols>
    <col width="24" customWidth="1" min="1" max="1"/>
    <col width="34" customWidth="1" min="2" max="2"/>
    <col width="45" customWidth="1" min="3" max="3"/>
    <col width="35" customWidth="1" min="4" max="4"/>
    <col width="24" customWidth="1" min="5" max="5"/>
  </cols>
  <sheetData>
    <row r="1">
      <c r="A1" s="1" t="inlineStr">
        <is>
          <t>FORM D: MANDATORY VENDOR FINANCING PROPOSAL</t>
        </is>
      </c>
    </row>
    <row r="2">
      <c r="A2" t="inlineStr">
        <is>
          <t>Official Bidding Terms — Enter Proposed Binding Financing Terms in Column D</t>
        </is>
      </c>
    </row>
    <row r="4">
      <c r="A4" s="4" t="inlineStr">
        <is>
          <t>Parameter Ref</t>
        </is>
      </c>
      <c r="B4" s="4" t="inlineStr">
        <is>
          <t>Financing Term / Condition</t>
        </is>
      </c>
      <c r="C4" s="4" t="inlineStr">
        <is>
          <t>Operator Mandatory Requirement</t>
        </is>
      </c>
      <c r="D4" s="4" t="inlineStr">
        <is>
          <t>Bidder Binding Offer [Bidder Input]</t>
        </is>
      </c>
      <c r="E4" s="4" t="inlineStr">
        <is>
          <t>Compliance / Notes</t>
        </is>
      </c>
    </row>
    <row r="5">
      <c r="A5" s="6" t="inlineStr">
        <is>
          <t>FIN-01</t>
        </is>
      </c>
      <c r="B5" s="6" t="inlineStr">
        <is>
          <t>Financing Structure</t>
        </is>
      </c>
      <c r="C5" s="6" t="inlineStr">
        <is>
          <t>OEM Vendor Financing, Buyer's Credit, or ECA-backed facility</t>
        </is>
      </c>
      <c r="D5" s="8" t="inlineStr"/>
      <c r="E5" s="9" t="n"/>
    </row>
    <row r="6">
      <c r="A6" s="6" t="inlineStr">
        <is>
          <t>FIN-02</t>
        </is>
      </c>
      <c r="B6" s="6" t="inlineStr">
        <is>
          <t>Financing Quantum (% of Capex)</t>
        </is>
      </c>
      <c r="C6" s="6" t="inlineStr">
        <is>
          <t>Minimum 80.0% of total eligible Capex (Lots 1, 3, Turnkey Services)</t>
        </is>
      </c>
      <c r="D6" s="8" t="inlineStr"/>
      <c r="E6" s="9" t="n"/>
    </row>
    <row r="7">
      <c r="A7" s="6" t="inlineStr">
        <is>
          <t>FIN-03</t>
        </is>
      </c>
      <c r="B7" s="6" t="inlineStr">
        <is>
          <t>Equity Downpayment (% of Capex)</t>
        </is>
      </c>
      <c r="C7" s="6" t="inlineStr">
        <is>
          <t>Maximum 20.0% downpayment upon contract signing</t>
        </is>
      </c>
      <c r="D7" s="8" t="inlineStr"/>
      <c r="E7" s="9" t="n"/>
    </row>
    <row r="8">
      <c r="A8" s="6" t="inlineStr">
        <is>
          <t>FIN-04</t>
        </is>
      </c>
      <c r="B8" s="6" t="inlineStr">
        <is>
          <t>Total Facility Tenor</t>
        </is>
      </c>
      <c r="C8" s="6" t="inlineStr">
        <is>
          <t>Flexible facility tenor up to 20 Years (minimum 4 Years, 5+ Years Preferred)</t>
        </is>
      </c>
      <c r="D8" s="8" t="inlineStr"/>
      <c r="E8" s="9" t="n"/>
    </row>
    <row r="9">
      <c r="A9" s="6" t="inlineStr">
        <is>
          <t>FIN-05</t>
        </is>
      </c>
      <c r="B9" s="6" t="inlineStr">
        <is>
          <t>Principal Grace Period</t>
        </is>
      </c>
      <c r="C9" s="6" t="inlineStr">
        <is>
          <t>Deferred payment / principal grace period up to 10 Years (minimum 12 Months, 18+ Months Preferred)</t>
        </is>
      </c>
      <c r="D9" s="8" t="inlineStr"/>
      <c r="E9" s="9" t="n"/>
    </row>
    <row r="10">
      <c r="A10" s="6" t="inlineStr">
        <is>
          <t>FIN-06</t>
        </is>
      </c>
      <c r="B10" s="6" t="inlineStr">
        <is>
          <t>Indicative Annual Interest Rate</t>
        </is>
      </c>
      <c r="C10" s="6" t="inlineStr">
        <is>
          <t>Fixed commercial rate (preferred &lt;= 6.50% p.a.) or competitive benchmark to SOFR + spread</t>
        </is>
      </c>
      <c r="D10" s="8" t="inlineStr"/>
      <c r="E10" s="9" t="n"/>
    </row>
    <row r="11">
      <c r="A11" s="6" t="inlineStr">
        <is>
          <t>FIN-07</t>
        </is>
      </c>
      <c r="B11" s="6" t="inlineStr">
        <is>
          <t>Repayment Schedule</t>
        </is>
      </c>
      <c r="C11" s="6" t="inlineStr">
        <is>
          <t>Equal quarterly or semi-annual principal &amp; interest amortizations</t>
        </is>
      </c>
      <c r="D11" s="8" t="inlineStr"/>
      <c r="E11" s="9" t="n"/>
    </row>
    <row r="12">
      <c r="A12" s="6" t="inlineStr">
        <is>
          <t>FIN-08</t>
        </is>
      </c>
      <c r="B12" s="6" t="inlineStr">
        <is>
          <t>Collateral / Asset Pledge</t>
        </is>
      </c>
      <c r="C12" s="6" t="inlineStr">
        <is>
          <t>Pledge on acquired telecom hardware without restrictive corporate liens</t>
        </is>
      </c>
      <c r="D12" s="8" t="inlineStr"/>
      <c r="E12" s="9" t="n"/>
    </row>
    <row r="13">
      <c r="A13" s="6" t="inlineStr">
        <is>
          <t>FIN-09</t>
        </is>
      </c>
      <c r="B13" s="6" t="inlineStr">
        <is>
          <t>Credit Committee Status</t>
        </is>
      </c>
      <c r="C13" s="6" t="inlineStr">
        <is>
          <t>Board or Credit Committee approved term sheet attached with bid</t>
        </is>
      </c>
      <c r="D13" s="8" t="inlineStr"/>
      <c r="E13" s="9"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OLIVER TUNGOL</dc:creator>
  <dcterms:created xmlns:dcterms="http://purl.org/dc/terms/" xmlns:xsi="http://www.w3.org/2001/XMLSchema-instance" xsi:type="dcterms:W3CDTF">2026-10-06T05:33:15Z</dcterms:created>
  <dcterms:modified xmlns:dcterms="http://purl.org/dc/terms/" xmlns:xsi="http://www.w3.org/2001/XMLSchema-instance" xsi:type="dcterms:W3CDTF">2026-10-25T14:08:19Z</dcterms:modified>
  <cp:lastModifiedBy>OLIVER TUNGOL</cp:lastModifiedBy>
</cp:coreProperties>
</file>