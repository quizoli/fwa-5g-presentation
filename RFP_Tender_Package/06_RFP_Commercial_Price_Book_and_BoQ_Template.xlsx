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5 - Site Acq &amp; Civils" sheetId="7" state="visible" r:id="rId7"/>
    <sheet name="Lot 6 - Managed Services" sheetId="8" state="visible" r:id="rId8"/>
    <sheet name="Lot 7 - 5G CPE" sheetId="9" state="visible" r:id="rId9"/>
    <sheet name="Form C - 10-Year TCO Schedule" sheetId="10" state="visible" r:id="rId10"/>
    <sheet name="Form D - Vendor Financ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₱#,##0.00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0A192F"/>
      </patternFill>
    </fill>
    <fill>
      <patternFill patternType="solid">
        <fgColor rgb="00E2E8F0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  <xf numFmtId="0" fontId="10" fillId="5" borderId="0" pivotButton="0" quotePrefix="0" xfId="0"/>
    <xf numFmtId="0" fontId="11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LiFePO4 battery bank &gt;=4h @ 3.0 kW autonomy,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SLA metric: 99.95% Target (99.70% Min Contractual Floor),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indoor + 15,000 outdoor units (365,000 total terminals).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Unit Rates in Column G (USD)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6.0 kW Modular DC Rectifier Plant</t>
        </is>
      </c>
      <c r="C5" s="23" t="inlineStr">
        <is>
          <t>19" 3U subrack, 3x 3.0 kW modules (N+1),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 t="n"/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</t>
        </is>
      </c>
      <c r="C6" s="23" t="inlineStr">
        <is>
          <t>Sized for &gt;= 12.0 kWh usable energy over 4.0h @ 3.0 kW load, &lt;=80% DoD, 80% SoH retention (min &gt;=19.0 to 20.0 kWh nominal)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 t="n"/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 t="n"/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 t="n"/>
      <c r="H8" s="25">
        <f>G8*55</f>
        <v/>
      </c>
      <c r="I8" s="32">
        <f>F8*G8</f>
        <v/>
      </c>
      <c r="J8" s="23" t="n"/>
    </row>
    <row r="9">
      <c r="A9" s="22" t="inlineStr">
        <is>
          <t>CIV-01</t>
        </is>
      </c>
      <c r="B9" s="23" t="inlineStr">
        <is>
          <t>30m Monopole Tower &amp; Foundation</t>
        </is>
      </c>
      <c r="C9" s="23" t="inlineStr">
        <is>
          <t>ASTM A572 steel, 250 km/h wind rating, 8x8m compound, pad foundation</t>
        </is>
      </c>
      <c r="D9" s="23" t="inlineStr">
        <is>
          <t>Greenfield Sites (Class T4)</t>
        </is>
      </c>
      <c r="E9" s="22" t="inlineStr">
        <is>
          <t>site</t>
        </is>
      </c>
      <c r="F9" s="31" t="n">
        <v>103</v>
      </c>
      <c r="G9" s="24" t="n"/>
      <c r="H9" s="25">
        <f>G9*55</f>
        <v/>
      </c>
      <c r="I9" s="32">
        <f>F9*G9</f>
        <v/>
      </c>
      <c r="J9" s="23" t="n"/>
    </row>
    <row r="10">
      <c r="A10" s="22" t="inlineStr">
        <is>
          <t>CIV-02</t>
        </is>
      </c>
      <c r="B10" s="23" t="inlineStr">
        <is>
          <t>Grounding Grid &amp; Lightning System</t>
        </is>
      </c>
      <c r="C10" s="23" t="inlineStr">
        <is>
          <t>Copper earth ring, Cadweld, ground rods, air terminal (&lt;=5 Ohms)</t>
        </is>
      </c>
      <c r="D10" s="23" t="inlineStr">
        <is>
          <t>Greenfield Sites (Class T4)</t>
        </is>
      </c>
      <c r="E10" s="22" t="inlineStr">
        <is>
          <t>site</t>
        </is>
      </c>
      <c r="F10" s="31" t="n">
        <v>103</v>
      </c>
      <c r="G10" s="24" t="n"/>
      <c r="H10" s="25">
        <f>G10*55</f>
        <v/>
      </c>
      <c r="I10" s="32">
        <f>F10*G10</f>
        <v/>
      </c>
      <c r="J10" s="23" t="n"/>
    </row>
    <row r="11">
      <c r="A11" s="26" t="inlineStr">
        <is>
          <t>TOTAL-LOT2</t>
        </is>
      </c>
      <c r="B11" s="27" t="inlineStr">
        <is>
          <t>TOTAL POWER &amp; PASSIVE INFRASTRUCTURE</t>
        </is>
      </c>
      <c r="C11" s="27" t="inlineStr">
        <is>
          <t>Total Phase 1 Capital Expenditure for Lot 2</t>
        </is>
      </c>
      <c r="D11" s="27" t="inlineStr">
        <is>
          <t>1,000 Sites Footprint</t>
        </is>
      </c>
      <c r="E11" s="26" t="inlineStr">
        <is>
          <t>lot</t>
        </is>
      </c>
      <c r="F11" s="26" t="n">
        <v>1000</v>
      </c>
      <c r="G11" s="33" t="inlineStr"/>
      <c r="H11" s="33" t="inlineStr"/>
      <c r="I11" s="28">
        <f>SUM(I5:I10)</f>
        <v/>
      </c>
      <c r="J11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52" customWidth="1" min="3" max="3"/>
    <col width="22" customWidth="1" min="4" max="4"/>
    <col width="12" customWidth="1" min="5" max="5"/>
    <col width="24" customWidth="1" min="6" max="6"/>
    <col width="22" customWidth="1" min="7" max="7"/>
    <col width="28" customWidth="1" min="8" max="8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Rates in Column F</t>
        </is>
      </c>
    </row>
    <row r="4">
      <c r="A4" s="19" t="inlineStr">
        <is>
          <t>Item Code</t>
        </is>
      </c>
      <c r="B4" s="20" t="inlineStr">
        <is>
          <t>Service / Works Description</t>
        </is>
      </c>
      <c r="C4" s="20" t="inlineStr">
        <is>
          <t>Detailed Scope &amp; Technical Specification</t>
        </is>
      </c>
      <c r="D4" s="20" t="inlineStr">
        <is>
          <t>Application</t>
        </is>
      </c>
      <c r="E4" s="19" t="inlineStr">
        <is>
          <t>UoM</t>
        </is>
      </c>
      <c r="F4" s="21" t="inlineStr">
        <is>
          <t>Unit Rate (USD) [Bidder Input]</t>
        </is>
      </c>
      <c r="G4" s="21" t="inlineStr">
        <is>
          <t>Unit Rate (PHP @ 55)</t>
        </is>
      </c>
      <c r="H4" s="20" t="inlineStr">
        <is>
          <t>Remarks / Bidder Methodology</t>
        </is>
      </c>
    </row>
    <row r="5">
      <c r="A5" s="22" t="inlineStr">
        <is>
          <t>CIV-SVC-01</t>
        </is>
      </c>
      <c r="B5" s="23" t="inlineStr">
        <is>
          <t>Detailed Site Survey Report (TSSR)</t>
        </is>
      </c>
      <c r="C5" s="23" t="inlineStr">
        <is>
          <t>Tower structural load audit, 360-degree drone photo sweep, power/grounding audit, civil layout sketch, and PE endorsement.</t>
        </is>
      </c>
      <c r="D5" s="23" t="inlineStr">
        <is>
          <t>All Sites (Co-loc &amp; Greenfield)</t>
        </is>
      </c>
      <c r="E5" s="22" t="inlineStr">
        <is>
          <t>site</t>
        </is>
      </c>
      <c r="F5" s="24" t="n"/>
      <c r="G5" s="25">
        <f>F5*55</f>
        <v/>
      </c>
      <c r="H5" s="23" t="n"/>
    </row>
    <row r="6">
      <c r="A6" s="22" t="inlineStr">
        <is>
          <t>CIV-SVC-02</t>
        </is>
      </c>
      <c r="B6" s="23" t="inlineStr">
        <is>
          <t>Site Acquisition &amp; Permitting Support</t>
        </is>
      </c>
      <c r="C6" s="23" t="inlineStr">
        <is>
          <t>LGU building permit processing, Barangay clearance, CAAP height clearance, and environmental compliance documentation.</t>
        </is>
      </c>
      <c r="D6" s="23" t="inlineStr">
        <is>
          <t>Greenfield Sites</t>
        </is>
      </c>
      <c r="E6" s="22" t="inlineStr">
        <is>
          <t>site</t>
        </is>
      </c>
      <c r="F6" s="24" t="n"/>
      <c r="G6" s="25">
        <f>F6*55</f>
        <v/>
      </c>
      <c r="H6" s="23" t="n"/>
    </row>
    <row r="7">
      <c r="A7" s="22" t="inlineStr">
        <is>
          <t>CIV-SVC-03</t>
        </is>
      </c>
      <c r="B7" s="23" t="inlineStr">
        <is>
          <t>Equipment Pad Foundation &amp; Cable Gantry</t>
        </is>
      </c>
      <c r="C7" s="23" t="inlineStr">
        <is>
          <t>Reinforced concrete plinth for outdoor DC power cabinet/battery, elevated cable tray/gantry, and AC interconnect point.</t>
        </is>
      </c>
      <c r="D7" s="23" t="inlineStr">
        <is>
          <t>Leased TowerCo Sites</t>
        </is>
      </c>
      <c r="E7" s="22" t="inlineStr">
        <is>
          <t>site</t>
        </is>
      </c>
      <c r="F7" s="24" t="n"/>
      <c r="G7" s="25">
        <f>F7*55</f>
        <v/>
      </c>
      <c r="H7" s="23" t="n"/>
    </row>
    <row r="8">
      <c r="A8" s="22" t="inlineStr">
        <is>
          <t>CIV-SVC-04</t>
        </is>
      </c>
      <c r="B8" s="23" t="inlineStr">
        <is>
          <t>Greenfield Compound Civil Works &amp; Foundation</t>
        </is>
      </c>
      <c r="C8" s="23" t="inlineStr">
        <is>
          <t>8m x 8m compound grading, perimeter chain-link security fence, crushed gravel bedding, and reinforced foundation slab.</t>
        </is>
      </c>
      <c r="D8" s="23" t="inlineStr">
        <is>
          <t>Greenfield Sites (Class T4)</t>
        </is>
      </c>
      <c r="E8" s="22" t="inlineStr">
        <is>
          <t>site</t>
        </is>
      </c>
      <c r="F8" s="24" t="n"/>
      <c r="G8" s="25">
        <f>F8*55</f>
        <v/>
      </c>
      <c r="H8" s="23" t="n"/>
    </row>
    <row r="9">
      <c r="A9" s="22" t="inlineStr">
        <is>
          <t>CIV-SVC-05</t>
        </is>
      </c>
      <c r="B9" s="23" t="inlineStr">
        <is>
          <t>Grounding Grid &amp; Lightning Protection System</t>
        </is>
      </c>
      <c r="C9" s="23" t="inlineStr">
        <is>
          <t>Exothermically welded copper ground ring (Cadweld), ground rods, copper busbar, and air terminal (&lt;= 5.0 Ohms).</t>
        </is>
      </c>
      <c r="D9" s="23" t="inlineStr">
        <is>
          <t>All Sites (Co-loc &amp; Greenfield)</t>
        </is>
      </c>
      <c r="E9" s="22" t="inlineStr">
        <is>
          <t>site</t>
        </is>
      </c>
      <c r="F9" s="24" t="n"/>
      <c r="G9" s="25">
        <f>F9*55</f>
        <v/>
      </c>
      <c r="H9" s="23" t="n"/>
    </row>
    <row r="10">
      <c r="A10" s="22" t="inlineStr">
        <is>
          <t>CIV-SVC-06</t>
        </is>
      </c>
      <c r="B10" s="23" t="inlineStr">
        <is>
          <t>30m Galvanized Steel Monopole Tower</t>
        </is>
      </c>
      <c r="C10" s="23" t="inlineStr">
        <is>
          <t>ASTM A572 steel monopole, 250 km/h Category 5 wind rating, climbing ladder with fall arrest, rigging, erection, and certification.</t>
        </is>
      </c>
      <c r="D10" s="23" t="inlineStr">
        <is>
          <t>Greenfield Sites (Class T4)</t>
        </is>
      </c>
      <c r="E10" s="22" t="inlineStr">
        <is>
          <t>site</t>
        </is>
      </c>
      <c r="F10" s="24" t="n"/>
      <c r="G10" s="25">
        <f>F10*55</f>
        <v/>
      </c>
      <c r="H10" s="23" t="n"/>
    </row>
    <row r="11">
      <c r="A11" s="22" t="inlineStr">
        <is>
          <t>CIV-SVC-07</t>
        </is>
      </c>
      <c r="B11" s="23" t="inlineStr">
        <is>
          <t>40m Galvanized Steel Monopole Tower</t>
        </is>
      </c>
      <c r="C11" s="23" t="inlineStr">
        <is>
          <t>ASTM A572 steel monopole, 250 km/h Category 5 wind rating, fall arrest, rigging, erection, and structural PE certification.</t>
        </is>
      </c>
      <c r="D11" s="23" t="inlineStr">
        <is>
          <t>Greenfield Sites (Terrain Challenged)</t>
        </is>
      </c>
      <c r="E11" s="22" t="inlineStr">
        <is>
          <t>site</t>
        </is>
      </c>
      <c r="F11" s="24" t="n"/>
      <c r="G11" s="25">
        <f>F11*55</f>
        <v/>
      </c>
      <c r="H11" s="23" t="n"/>
    </row>
    <row r="12">
      <c r="A12" s="22" t="inlineStr">
        <is>
          <t>CIV-SVC-08</t>
        </is>
      </c>
      <c r="B12" s="23" t="inlineStr">
        <is>
          <t>RF Propagation Modeling &amp; Siting Optimization</t>
        </is>
      </c>
      <c r="C12" s="23" t="inlineStr">
        <is>
          <t>High-resolution 3D ray-tracing simulation, local clutter calibration, candidate search ring generation, and nominal design.</t>
        </is>
      </c>
      <c r="D12" s="23" t="inlineStr">
        <is>
          <t>Macro Network Footprint</t>
        </is>
      </c>
      <c r="E12" s="22" t="inlineStr">
        <is>
          <t>site</t>
        </is>
      </c>
      <c r="F12" s="24" t="n"/>
      <c r="G12" s="25">
        <f>F12*55</f>
        <v/>
      </c>
      <c r="H12" s="23" t="n"/>
    </row>
    <row r="13">
      <c r="A13" s="22" t="inlineStr">
        <is>
          <t>CIV-SVC-09</t>
        </is>
      </c>
      <c r="B13" s="23" t="inlineStr">
        <is>
          <t>Cluster RF Optimization &amp; Drive Testing Services</t>
        </is>
      </c>
      <c r="C13" s="23" t="inlineStr">
        <is>
          <t>Multi-site cluster drive testing, antenna tilt/azimuth physical optimization, pilot pollution removal, and handover tuning.</t>
        </is>
      </c>
      <c r="D13" s="23" t="inlineStr">
        <is>
          <t>Multi-Site Clusters (per site share)</t>
        </is>
      </c>
      <c r="E13" s="22" t="inlineStr">
        <is>
          <t>site</t>
        </is>
      </c>
      <c r="F13" s="24" t="n"/>
      <c r="G13" s="25">
        <f>F13*55</f>
        <v/>
      </c>
      <c r="H13" s="23" t="n"/>
    </row>
    <row r="14">
      <c r="A14" s="26" t="inlineStr">
        <is>
          <t>TOTAL-LOT5</t>
        </is>
      </c>
      <c r="B14" s="27" t="inlineStr">
        <is>
          <t>TOTAL LOT 5 TURNKEY CIVIL &amp; SITE SCOPE</t>
        </is>
      </c>
      <c r="C14" s="27" t="inlineStr">
        <is>
          <t>Total Site Acquisition, TSSR &amp; Civil Infrastructure per Site</t>
        </is>
      </c>
      <c r="D14" s="27" t="inlineStr">
        <is>
          <t>Full Scope Evaluation</t>
        </is>
      </c>
      <c r="E14" s="26" t="inlineStr">
        <is>
          <t>site</t>
        </is>
      </c>
      <c r="F14" s="28">
        <f>SUM(F5:F13)</f>
        <v/>
      </c>
      <c r="G14" s="29">
        <f>SUM(G5:G13)</f>
        <v/>
      </c>
      <c r="H14" s="30" t="inlineStr">
        <is>
          <t>Evaluated Rate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Telecommunications Technology Solutions Incorporated (TelTech)</t>
        </is>
      </c>
    </row>
    <row r="2">
      <c r="A2" t="inlineStr">
        <is>
          <t>Form C: 10-Year Total Cost of Ownership (TCO) &amp; Expansion Schedule</t>
        </is>
      </c>
    </row>
    <row r="3">
      <c r="A3" t="inlineStr">
        <is>
          <t>Tender Ref: RFP-TELTECH-FWA-2026-001 | Bidding Entity: [Bidder Company Name]</t>
        </is>
      </c>
    </row>
    <row r="5">
      <c r="A5" s="37" t="inlineStr">
        <is>
          <t>Cost Category / Lifecycle Element</t>
        </is>
      </c>
      <c r="B5" s="37" t="inlineStr">
        <is>
          <t>Phase 1 Capex (Yr 1)</t>
        </is>
      </c>
      <c r="C5" s="37" t="inlineStr">
        <is>
          <t>Yr 2</t>
        </is>
      </c>
      <c r="D5" s="37" t="inlineStr">
        <is>
          <t>Yr 3</t>
        </is>
      </c>
      <c r="E5" s="37" t="inlineStr">
        <is>
          <t>Yr 4</t>
        </is>
      </c>
      <c r="F5" s="37" t="inlineStr">
        <is>
          <t>Yr 5</t>
        </is>
      </c>
      <c r="G5" s="37" t="inlineStr">
        <is>
          <t>Yrs 6-10 Cumulative</t>
        </is>
      </c>
      <c r="H5" s="37" t="inlineStr">
        <is>
          <t>10-Year Total TCO (USD)</t>
        </is>
      </c>
      <c r="I5" s="37" t="inlineStr">
        <is>
          <t>Notes &amp; Pricing Assumptions</t>
        </is>
      </c>
    </row>
    <row r="6">
      <c r="A6" t="inlineStr">
        <is>
          <t>1. 5G RAN Network Capex (Lots 1, 2, 5)</t>
        </is>
      </c>
      <c r="B6">
        <f>'Lot 1 - RAN &amp; Rollout'!H19+'Lot 2 - Power &amp; Passive'!I11</f>
        <v/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>
        <f>SUM(B6:G6)</f>
        <v/>
      </c>
      <c r="I6" t="inlineStr">
        <is>
          <t>Initial 1,000 sites turnkey roll-out</t>
        </is>
      </c>
    </row>
    <row r="7">
      <c r="A7" t="inlineStr">
        <is>
          <t>2. 5G Core Network &amp; Cloud Infrastructure (Lot 3)</t>
        </is>
      </c>
      <c r="B7">
        <f>'Lot 3 - 5G Core'!F13</f>
        <v/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>
        <f>SUM(B7:G7)</f>
        <v/>
      </c>
      <c r="I7" t="inlineStr">
        <is>
          <t>1.0M subscriber capacity Day-1</t>
        </is>
      </c>
    </row>
    <row r="8">
      <c r="A8" t="inlineStr">
        <is>
          <t>3. Digital OSS/BSS &amp; Automation (Lot 4)</t>
        </is>
      </c>
      <c r="B8">
        <f>'Lot 4 - OSS-BSS'!F15</f>
        <v/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>
        <f>SUM(B8:G8)</f>
        <v/>
      </c>
      <c r="I8" t="inlineStr">
        <is>
          <t>Charging, billing, and field dispatch</t>
        </is>
      </c>
    </row>
    <row r="9">
      <c r="A9" t="inlineStr">
        <is>
          <t>4. 5G CPE Terminals Supply (Lot 7)</t>
        </is>
      </c>
      <c r="B9">
        <f>'Lot 7 - 5G CPE'!G8</f>
        <v/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SUM(B9:G9)</f>
        <v/>
      </c>
      <c r="I9" t="inlineStr">
        <is>
          <t>365,000 Phase 1 indoor/outdoor terminals</t>
        </is>
      </c>
    </row>
    <row r="10">
      <c r="A10" t="inlineStr">
        <is>
          <t>5. Annual Software Support &amp; AMC (5GC + OSS/BSS)</t>
        </is>
      </c>
      <c r="B10" t="n">
        <v>0</v>
      </c>
      <c r="C10">
        <f>('Lot 3 - 5G Core'!F13*0.10)+('Lot 4 - OSS-BSS'!F15*0.10)</f>
        <v/>
      </c>
      <c r="D10">
        <f>('Lot 3 - 5G Core'!F13*0.10)+('Lot 4 - OSS-BSS'!F15*0.10)</f>
        <v/>
      </c>
      <c r="E10">
        <f>('Lot 3 - 5G Core'!F13*0.10)+('Lot 4 - OSS-BSS'!F15*0.10)</f>
        <v/>
      </c>
      <c r="F10">
        <f>('Lot 3 - 5G Core'!F13*0.10)+('Lot 4 - OSS-BSS'!F15*0.10)</f>
        <v/>
      </c>
      <c r="G10">
        <f>(('Lot 3 - 5G Core'!F13*0.10)+('Lot 4 - OSS-BSS'!F15*0.10))*5</f>
        <v/>
      </c>
      <c r="H10">
        <f>SUM(B10:G10)</f>
        <v/>
      </c>
      <c r="I10" t="inlineStr">
        <is>
          <t>Standard 10% SLA &amp; feature maintenance</t>
        </is>
      </c>
    </row>
    <row r="11">
      <c r="A11" t="inlineStr">
        <is>
          <t>6. Managed Services &amp; Field Operations (Lot 6)</t>
        </is>
      </c>
      <c r="B11">
        <f>'Lot 6 - Managed Services'!G10*1000</f>
        <v/>
      </c>
      <c r="C11">
        <f>'Lot 6 - Managed Services'!G10*1000</f>
        <v/>
      </c>
      <c r="D11">
        <f>'Lot 6 - Managed Services'!G10*1000</f>
        <v/>
      </c>
      <c r="E11">
        <f>'Lot 6 - Managed Services'!G10*1000</f>
        <v/>
      </c>
      <c r="F11">
        <f>'Lot 6 - Managed Services'!G10*1000</f>
        <v/>
      </c>
      <c r="G11">
        <f>'Lot 6 - Managed Services'!G10*1000*5</f>
        <v/>
      </c>
      <c r="H11">
        <f>SUM(B11:G11)</f>
        <v/>
      </c>
      <c r="I11" t="inlineStr">
        <is>
          <t>24/7 Tier-1/2 FLM &amp; NOC surveillance</t>
        </is>
      </c>
    </row>
    <row r="12">
      <c r="A12" t="inlineStr">
        <is>
          <t>7. Spare Parts Float &amp; RMA Replenishment</t>
        </is>
      </c>
      <c r="B12">
        <f>B6*0.02</f>
        <v/>
      </c>
      <c r="C12">
        <f>B6*0.01</f>
        <v/>
      </c>
      <c r="D12">
        <f>B6*0.01</f>
        <v/>
      </c>
      <c r="E12">
        <f>B6*0.01</f>
        <v/>
      </c>
      <c r="F12">
        <f>B6*0.01</f>
        <v/>
      </c>
      <c r="G12">
        <f>B6*0.05</f>
        <v/>
      </c>
      <c r="H12">
        <f>SUM(B12:G12)</f>
        <v/>
      </c>
      <c r="I12" t="inlineStr">
        <is>
          <t>2% initial spares float, 1% annual replenishment</t>
        </is>
      </c>
    </row>
    <row r="13">
      <c r="A13" s="38" t="inlineStr">
        <is>
          <t>TOTAL EVALUATED 10-YEAR TCO (USD)</t>
        </is>
      </c>
      <c r="B13" s="38">
        <f>SUM(B6:B12)</f>
        <v/>
      </c>
      <c r="C13" s="38">
        <f>SUM(C6:C12)</f>
        <v/>
      </c>
      <c r="D13" s="38">
        <f>SUM(D6:D12)</f>
        <v/>
      </c>
      <c r="E13" s="38">
        <f>SUM(E6:E12)</f>
        <v/>
      </c>
      <c r="F13" s="38">
        <f>SUM(F6:F12)</f>
        <v/>
      </c>
      <c r="G13" s="38">
        <f>SUM(G6:G12)</f>
        <v/>
      </c>
      <c r="H13" s="38">
        <f>SUM(H6:H12)</f>
        <v/>
      </c>
      <c r="I13" s="38" t="inlineStr">
        <is>
          <t>Evaluated Total Lifecycle Cost of Ownership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Minimum 4 Years total facility duration (5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Minimum 12 Months grace period from first disbursement (18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2026-10-15T02:56:28Z</dcterms:modified>
  <cp:lastModifiedBy>OLIVER TUNGOL</cp:lastModifiedBy>
</cp:coreProperties>
</file>