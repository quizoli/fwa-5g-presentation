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nical Compliance Matrix" sheetId="1" state="visible" r:id="rId1"/>
    <sheet name="Compliance Scorecard"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555555"/>
      <sz val="11"/>
    </font>
    <font>
      <name val="Calibri"/>
      <b val="1"/>
      <color rgb="001B365D"/>
      <sz val="16"/>
    </font>
    <font>
      <name val="Calibri"/>
      <i val="1"/>
      <color rgb="00555555"/>
      <sz val="9"/>
    </font>
    <font>
      <name val="Calibri"/>
      <b val="1"/>
      <color rgb="00000000"/>
      <sz val="10"/>
    </font>
    <font>
      <name val="Calibri"/>
      <color rgb="00000000"/>
      <sz val="10"/>
    </font>
    <font>
      <name val="Calibri"/>
      <b val="1"/>
      <color rgb="00FFFFFF"/>
      <sz val="11"/>
    </font>
    <font>
      <name val="Calibri"/>
      <b val="1"/>
      <color rgb="001B365D"/>
      <sz val="11"/>
    </font>
  </fonts>
  <fills count="6">
    <fill>
      <patternFill/>
    </fill>
    <fill>
      <patternFill patternType="gray125"/>
    </fill>
    <fill>
      <patternFill patternType="solid">
        <fgColor rgb="001B365D"/>
        <bgColor rgb="001B365D"/>
      </patternFill>
    </fill>
    <fill>
      <patternFill patternType="solid">
        <fgColor rgb="002C3E50"/>
        <bgColor rgb="002C3E50"/>
      </patternFill>
    </fill>
    <fill>
      <patternFill patternType="solid">
        <fgColor rgb="00F0FDF4"/>
        <bgColor rgb="00F0FDF4"/>
      </patternFill>
    </fill>
    <fill>
      <patternFill patternType="solid">
        <fgColor rgb="00F8FAFC"/>
        <bgColor rgb="00F8FAFC"/>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86EFAC"/>
      </left>
      <right style="thin">
        <color rgb="0086EFAC"/>
      </right>
      <top style="thin">
        <color rgb="0086EFAC"/>
      </top>
      <bottom style="thin">
        <color rgb="0086EFAC"/>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6" fillId="2" borderId="0" applyAlignment="1" pivotButton="0" quotePrefix="0" xfId="0">
      <alignment horizontal="left" vertical="center" wrapText="1"/>
    </xf>
    <xf numFmtId="0" fontId="6" fillId="3" borderId="0" pivotButton="0" quotePrefix="0" xfId="0"/>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7" fillId="4" borderId="2" applyAlignment="1" pivotButton="0" quotePrefix="0" xfId="0">
      <alignment horizontal="center" vertical="top"/>
    </xf>
    <xf numFmtId="0" fontId="5" fillId="4" borderId="2" applyAlignment="1" pivotButton="0" quotePrefix="0" xfId="0">
      <alignment horizontal="left" vertical="top" wrapText="1"/>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2" borderId="0" applyAlignment="1" pivotButton="0" quotePrefix="0" xfId="0">
      <alignment horizontal="left" vertical="center"/>
    </xf>
    <xf numFmtId="0" fontId="6" fillId="2" borderId="0" applyAlignment="1" pivotButton="0" quotePrefix="0" xfId="0">
      <alignment horizontal="center" vertical="center"/>
    </xf>
    <xf numFmtId="0" fontId="4" fillId="0" borderId="1" applyAlignment="1" pivotButton="0" quotePrefix="0" xfId="0">
      <alignment horizontal="left"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6"/>
  <sheetViews>
    <sheetView showGridLines="1" workbookViewId="0">
      <selection activeCell="A1" sqref="A1"/>
    </sheetView>
  </sheetViews>
  <sheetFormatPr baseColWidth="8" defaultRowHeight="15"/>
  <cols>
    <col width="12" customWidth="1" min="1" max="1"/>
    <col width="25" customWidth="1" min="2" max="2"/>
    <col width="58" customWidth="1" min="3" max="3"/>
    <col width="24" customWidth="1" min="4" max="4"/>
    <col width="45" customWidth="1" min="5" max="5"/>
  </cols>
  <sheetData>
    <row r="1">
      <c r="A1" s="1" t="inlineStr">
        <is>
          <t>Telecommunications Technology Solutions Inc. (TelTech)</t>
        </is>
      </c>
    </row>
    <row r="2">
      <c r="A2" s="2" t="inlineStr">
        <is>
          <t>Appendix A: Technical Specifications &amp; Mandatory Compliance Matrix</t>
        </is>
      </c>
    </row>
    <row r="3">
      <c r="A3" s="3" t="inlineStr">
        <is>
          <t>Tender Ref: RFP-TELTECH-FWA-2026-001 | Date: October 14, 2026</t>
        </is>
      </c>
    </row>
    <row r="4"/>
    <row r="5">
      <c r="A5" s="4" t="inlineStr">
        <is>
          <t>INSTRUCTIONS TO BIDDERS:</t>
        </is>
      </c>
    </row>
    <row r="6">
      <c r="A6" s="5" t="inlineStr">
        <is>
          <t>1. Complete Column D (Compliance) for every requirement using the dropdown: C (Full Compliance), M (Minor Deviation), or NC (Non-Compliant).</t>
        </is>
      </c>
    </row>
    <row r="7">
      <c r="A7" s="5" t="inlineStr">
        <is>
          <t>2. Complete Column E with exact technical parameters, datasheets citations, and architecture references. Explanations are mandatory for any "M" or "NC".</t>
        </is>
      </c>
    </row>
    <row r="8"/>
    <row r="9" ht="28" customHeight="1">
      <c r="A9" s="6" t="inlineStr">
        <is>
          <t>Item ID</t>
        </is>
      </c>
      <c r="B9" s="7" t="inlineStr">
        <is>
          <t>Sub-System / Feature</t>
        </is>
      </c>
      <c r="C9" s="7" t="inlineStr">
        <is>
          <t>Detailed Specification Requirement</t>
        </is>
      </c>
      <c r="D9" s="6" t="inlineStr">
        <is>
          <t>Compliance (C / M / NC)</t>
        </is>
      </c>
      <c r="E9" s="7" t="inlineStr">
        <is>
          <t>Bidder Proposed Specification &amp; Reference</t>
        </is>
      </c>
    </row>
    <row r="10" ht="22" customHeight="1">
      <c r="A10" s="8" t="inlineStr">
        <is>
          <t>SECTION 1: RADIO ACCESS NETWORK (RAN) TECHNICAL SPECIFICATIONS</t>
        </is>
      </c>
    </row>
    <row r="11">
      <c r="A11" s="9" t="inlineStr">
        <is>
          <t>RAN-01</t>
        </is>
      </c>
      <c r="B11" s="10" t="inlineStr">
        <is>
          <t>3GPP Standard</t>
        </is>
      </c>
      <c r="C11" s="11" t="inlineStr">
        <is>
          <t>3GPP Release 16 and Release 17 compliant 5G NR Standalone (SA) architecture.</t>
        </is>
      </c>
      <c r="D11" s="12" t="inlineStr"/>
      <c r="E11" s="13" t="inlineStr"/>
    </row>
    <row r="12">
      <c r="A12" s="14" t="inlineStr">
        <is>
          <t>RAN-02</t>
        </is>
      </c>
      <c r="B12" s="15" t="inlineStr">
        <is>
          <t>Frequency Band</t>
        </is>
      </c>
      <c r="C12" s="16" t="inlineStr">
        <is>
          <t>Band n50 (1432 – 1517 MHz, 1.5 GHz L-Band TDD). Full RF support for 1432–1517 MHz.</t>
        </is>
      </c>
      <c r="D12" s="12" t="inlineStr"/>
      <c r="E12" s="13" t="inlineStr"/>
    </row>
    <row r="13">
      <c r="A13" s="9" t="inlineStr">
        <is>
          <t>RAN-03</t>
        </is>
      </c>
      <c r="B13" s="10" t="inlineStr">
        <is>
          <t>Channel Bandwidth</t>
        </is>
      </c>
      <c r="C13" s="11" t="inlineStr">
        <is>
          <t>Continuous 60 MHz channel bandwidth on a single carrier; software-configurable to 40 MHz / 50 MHz / 60 MHz.</t>
        </is>
      </c>
      <c r="D13" s="12" t="inlineStr"/>
      <c r="E13" s="13" t="inlineStr"/>
    </row>
    <row r="14">
      <c r="A14" s="14" t="inlineStr">
        <is>
          <t>RAN-04</t>
        </is>
      </c>
      <c r="B14" s="15" t="inlineStr">
        <is>
          <t>Duplex Mode</t>
        </is>
      </c>
      <c r="C14" s="16" t="inlineStr">
        <is>
          <t>Time Division Duplex (TDD) with flexible frame configuration (e.g., 4:1 DL:UL ratio with special slot 10:2:2).</t>
        </is>
      </c>
      <c r="D14" s="12" t="inlineStr"/>
      <c r="E14" s="13" t="inlineStr"/>
    </row>
    <row r="15">
      <c r="A15" s="9" t="inlineStr">
        <is>
          <t>RAN-05</t>
        </is>
      </c>
      <c r="B15" s="10" t="inlineStr">
        <is>
          <t>Subcarrier Spacing</t>
        </is>
      </c>
      <c r="C15" s="11" t="inlineStr">
        <is>
          <t>30 kHz Subcarrier Spacing (SCS) with normal cyclic prefix (CP).</t>
        </is>
      </c>
      <c r="D15" s="12" t="inlineStr"/>
      <c r="E15" s="13" t="inlineStr"/>
    </row>
    <row r="16">
      <c r="A16" s="14" t="inlineStr">
        <is>
          <t>RAN-06</t>
        </is>
      </c>
      <c r="B16" s="15" t="inlineStr">
        <is>
          <t>Synchronization</t>
        </is>
      </c>
      <c r="C16" s="16" t="inlineStr">
        <is>
          <t>IEEE 1588v2 Precision Time Protocol (PTP G.8275.1 profile), Synchronous Ethernet (SyncE), and GNSS (GPS/BeiDou/GLONASS) receiver onboard BBU.</t>
        </is>
      </c>
      <c r="D16" s="12" t="inlineStr"/>
      <c r="E16" s="13" t="inlineStr"/>
    </row>
    <row r="17">
      <c r="A17" s="9" t="inlineStr">
        <is>
          <t>RAN-07</t>
        </is>
      </c>
      <c r="B17" s="10" t="inlineStr">
        <is>
          <t>Radio Configuration</t>
        </is>
      </c>
      <c r="C17" s="11" t="inlineStr">
        <is>
          <t>Standard macro site: 3 sectors, 8T8R configuration (3x 8T8R RRU or integrated AAU per site).</t>
        </is>
      </c>
      <c r="D17" s="12" t="inlineStr"/>
      <c r="E17" s="13" t="inlineStr"/>
    </row>
    <row r="18">
      <c r="A18" s="14" t="inlineStr">
        <is>
          <t>RAN-08</t>
        </is>
      </c>
      <c r="B18" s="15" t="inlineStr">
        <is>
          <t>RF Output Power</t>
        </is>
      </c>
      <c r="C18" s="16" t="inlineStr">
        <is>
          <t>Minimum 8x 40W (320W total RF output power per sector/RRU). Digital power control with dynamic power backoff.</t>
        </is>
      </c>
      <c r="D18" s="12" t="inlineStr"/>
      <c r="E18" s="13" t="inlineStr"/>
    </row>
    <row r="19">
      <c r="A19" s="9" t="inlineStr">
        <is>
          <t>RAN-09</t>
        </is>
      </c>
      <c r="B19" s="10" t="inlineStr">
        <is>
          <t>Beamforming</t>
        </is>
      </c>
      <c r="C19" s="11" t="inlineStr">
        <is>
          <t>Digital + analog beamforming (horizontal and vertical); dynamic Multi-User MIMO (MU-MIMO) pairing in DL and UL.</t>
        </is>
      </c>
      <c r="D19" s="12" t="inlineStr"/>
      <c r="E19" s="13" t="inlineStr"/>
    </row>
    <row r="20">
      <c r="A20" s="14" t="inlineStr">
        <is>
          <t>RAN-10</t>
        </is>
      </c>
      <c r="B20" s="15" t="inlineStr">
        <is>
          <t>Modulation Schemes</t>
        </is>
      </c>
      <c r="C20" s="16" t="inlineStr">
        <is>
          <t>Downlink: Up to 256-QAM adaptive modulation.
Uplink: Up to 64-QAM / 256-QAM adaptive modulation.</t>
        </is>
      </c>
      <c r="D20" s="12" t="inlineStr"/>
      <c r="E20" s="13" t="inlineStr"/>
    </row>
    <row r="21">
      <c r="A21" s="9" t="inlineStr">
        <is>
          <t>RAN-11</t>
        </is>
      </c>
      <c r="B21" s="10" t="inlineStr">
        <is>
          <t>MIMO Support</t>
        </is>
      </c>
      <c r="C21" s="11" t="inlineStr">
        <is>
          <t>Downlink: Up to 8-layer transmission across multiple users (MU-MIMO); up to 4-layer transmission to single 4R CPE.
Uplink: Up to 2-layer single user MIMO; 4-layer MU-MIMO.</t>
        </is>
      </c>
      <c r="D21" s="12" t="inlineStr"/>
      <c r="E21" s="13" t="inlineStr"/>
    </row>
    <row r="22">
      <c r="A22" s="14" t="inlineStr">
        <is>
          <t>RAN-12</t>
        </is>
      </c>
      <c r="B22" s="15" t="inlineStr">
        <is>
          <t>Sector Throughput</t>
        </is>
      </c>
      <c r="C22" s="16" t="inlineStr">
        <is>
          <t>Aggregated single-sector peak throughput &gt;= 450 Mbps in 60 MHz DL under 4:1 TDD frame configuration.</t>
        </is>
      </c>
      <c r="D22" s="12" t="inlineStr"/>
      <c r="E22" s="13" t="inlineStr"/>
    </row>
    <row r="23">
      <c r="A23" s="9" t="inlineStr">
        <is>
          <t>RAN-13</t>
        </is>
      </c>
      <c r="B23" s="10" t="inlineStr">
        <is>
          <t>Subscriber Capacity</t>
        </is>
      </c>
      <c r="C23" s="11" t="inlineStr">
        <is>
          <t>BBU and sector software must support &gt;= 350 active concurrent RRC connected CPEs per sector (&gt;= 1,000 per 3-sector site) without degradation.</t>
        </is>
      </c>
      <c r="D23" s="12" t="inlineStr"/>
      <c r="E23" s="13" t="inlineStr"/>
    </row>
    <row r="24">
      <c r="A24" s="14" t="inlineStr">
        <is>
          <t>RAN-14</t>
        </is>
      </c>
      <c r="B24" s="15" t="inlineStr">
        <is>
          <t>BBU Architecture</t>
        </is>
      </c>
      <c r="C24" s="16" t="inlineStr">
        <is>
          <t>Modular 19" rack-mountable subrack (&lt;= 3U height). Dual hot-swappable -48V DC power supplies. Redundant main control units.</t>
        </is>
      </c>
      <c r="D24" s="12" t="inlineStr"/>
      <c r="E24" s="13" t="inlineStr"/>
    </row>
    <row r="25">
      <c r="A25" s="9" t="inlineStr">
        <is>
          <t>RAN-15</t>
        </is>
      </c>
      <c r="B25" s="10" t="inlineStr">
        <is>
          <t>Fronthaul Interfaces</t>
        </is>
      </c>
      <c r="C25" s="11" t="inlineStr">
        <is>
          <t>Minimum 6x 25GE eCPRI optical interfaces per BBU; support for fiber-saving BiDi transceivers.</t>
        </is>
      </c>
      <c r="D25" s="12" t="inlineStr"/>
      <c r="E25" s="13" t="inlineStr"/>
    </row>
    <row r="26">
      <c r="A26" s="14" t="inlineStr">
        <is>
          <t>RAN-16</t>
        </is>
      </c>
      <c r="B26" s="15" t="inlineStr">
        <is>
          <t>Backhaul Interfaces</t>
        </is>
      </c>
      <c r="C26" s="16" t="inlineStr">
        <is>
          <t>Minimum 2x 10GE + 2x 25GE SFP28 interfaces supporting IP routing, VLAN tagging (802.1Q), and Segment Routing / IP MPLS.</t>
        </is>
      </c>
      <c r="D26" s="12" t="inlineStr"/>
      <c r="E26" s="13" t="inlineStr"/>
    </row>
    <row r="27">
      <c r="A27" s="9" t="inlineStr">
        <is>
          <t>RAN-17</t>
        </is>
      </c>
      <c r="B27" s="10" t="inlineStr">
        <is>
          <t>Environmental Rating</t>
        </is>
      </c>
      <c r="C27" s="11" t="inlineStr">
        <is>
          <t>Outdoor RRU/AAU: IP65 / IP67 ingress protection; operating temperature -40°C to +55°C; wind load resistance up to 250 km/h.</t>
        </is>
      </c>
      <c r="D27" s="12" t="inlineStr"/>
      <c r="E27" s="13" t="inlineStr"/>
    </row>
    <row r="28">
      <c r="A28" s="14" t="inlineStr">
        <is>
          <t>RAN-18</t>
        </is>
      </c>
      <c r="B28" s="15" t="inlineStr">
        <is>
          <t>Energy Saving Modes</t>
        </is>
      </c>
      <c r="C28" s="16" t="inlineStr">
        <is>
          <t>Micro-sleep, symbol shutdown, deep sleep during low-traffic periods, reducing idle power consumption by &gt;= 40%.</t>
        </is>
      </c>
      <c r="D28" s="12" t="inlineStr"/>
      <c r="E28" s="13" t="inlineStr"/>
    </row>
    <row r="29">
      <c r="A29" s="9" t="inlineStr">
        <is>
          <t>RAN-19</t>
        </is>
      </c>
      <c r="B29" s="10" t="inlineStr">
        <is>
          <t>Antenna Specifications</t>
        </is>
      </c>
      <c r="C29" s="11" t="inlineStr">
        <is>
          <t>8-port cross-pol antenna, 65° horizontal HPBW, &gt;= 17.5 dBi gain, integrated AISG 2.0 internal remote electrical tilt (eRET) adjustable 2° to 12°.</t>
        </is>
      </c>
      <c r="D29" s="12" t="inlineStr"/>
      <c r="E29" s="13" t="inlineStr"/>
    </row>
    <row r="30">
      <c r="A30" s="14" t="inlineStr">
        <is>
          <t>RAN-20</t>
        </is>
      </c>
      <c r="B30" s="15" t="inlineStr">
        <is>
          <t>PIM Performance</t>
        </is>
      </c>
      <c r="C30" s="16" t="inlineStr">
        <is>
          <t>Passive Intermodulation (PIM) &lt;= -153dBc @ 2 x 43 dBm carrier test.</t>
        </is>
      </c>
      <c r="D30" s="12" t="inlineStr"/>
      <c r="E30" s="13" t="inlineStr"/>
    </row>
    <row r="31" ht="22" customHeight="1">
      <c r="A31" s="8" t="inlineStr">
        <is>
          <t>SECTION 2: POWER SYSTEMS &amp; PASSIVE SITE INFRASTRUCTURE</t>
        </is>
      </c>
    </row>
    <row r="32">
      <c r="A32" s="9" t="inlineStr">
        <is>
          <t>PWR-01</t>
        </is>
      </c>
      <c r="B32" s="10" t="inlineStr">
        <is>
          <t>DC Power Plant</t>
        </is>
      </c>
      <c r="C32" s="11" t="inlineStr">
        <is>
          <t>19" 3U/4U modular high-efficiency switchmode rectifier system; continuous rating &gt;= 12.0 kW @ -48V DC (4 x 3.0 kW modules in N+1 redundancy).</t>
        </is>
      </c>
      <c r="D32" s="12" t="inlineStr"/>
      <c r="E32" s="13" t="inlineStr"/>
    </row>
    <row r="33">
      <c r="A33" s="14" t="inlineStr">
        <is>
          <t>PWR-02</t>
        </is>
      </c>
      <c r="B33" s="15" t="inlineStr">
        <is>
          <t>Rectifier Modules</t>
        </is>
      </c>
      <c r="C33" s="16" t="inlineStr">
        <is>
          <t>Hot-swappable 3.0 kW modules in N+1 redundant configuration (4x 3.0 kW modules total). Operating efficiency &gt;= 96.0%.</t>
        </is>
      </c>
      <c r="D33" s="12" t="inlineStr"/>
      <c r="E33" s="13" t="inlineStr"/>
    </row>
    <row r="34">
      <c r="A34" s="9" t="inlineStr">
        <is>
          <t>PWR-03</t>
        </is>
      </c>
      <c r="B34" s="10" t="inlineStr">
        <is>
          <t>Input Voltage Range</t>
        </is>
      </c>
      <c r="C34" s="11" t="inlineStr">
        <is>
          <t>Wide AC input operating range: 85V AC to 300V AC nominal single phase (230V, 60 Hz), withstanding rural grid fluctuations.</t>
        </is>
      </c>
      <c r="D34" s="12" t="inlineStr"/>
      <c r="E34" s="13" t="inlineStr"/>
    </row>
    <row r="35">
      <c r="A35" s="14" t="inlineStr">
        <is>
          <t>PWR-04</t>
        </is>
      </c>
      <c r="B35" s="15" t="inlineStr">
        <is>
          <t>Lithium Battery (BESS)</t>
        </is>
      </c>
      <c r="C35" s="16" t="inlineStr">
        <is>
          <t>Lithium Iron Phosphate (LiFePO4 / LFP) battery energy storage system: Sized to deliver at least 12.0 kWh usable energy to 3.0 kW DC continuous BTS load over 4.0 continuous hours without AC power, dimensioned for max 80% usable DoD and 80% end-of-life SoH retained capacity (minimum &gt;= 20.0 kWh nominal installed capacity, minimum 400 Ah to 450 Ah @ 48V, dimensioned via mandatory loss-based engineering calculation delivering 12.0 kWh net usable energy at 80% DoD and 80% EOL SoH). Bidder shall submit formal load-autonomy calculation sheet, manufacturer discharge curves, and guarantee 4.0h autonomy at SAT.</t>
        </is>
      </c>
      <c r="D35" s="12" t="inlineStr"/>
      <c r="E35" s="13" t="inlineStr"/>
    </row>
    <row r="36">
      <c r="A36" s="9" t="inlineStr">
        <is>
          <t>PWR-05</t>
        </is>
      </c>
      <c r="B36" s="10" t="inlineStr">
        <is>
          <t>Battery Autonomy</t>
        </is>
      </c>
      <c r="C36" s="11" t="inlineStr">
        <is>
          <t>Guaranteed &gt;= 4.0 hours continuous operation at 3.0 kW continuous BTS load without AC utility input, verified by full discharge test at site acceptance.</t>
        </is>
      </c>
      <c r="D36" s="12" t="inlineStr"/>
      <c r="E36" s="13" t="inlineStr"/>
    </row>
    <row r="37">
      <c r="A37" s="14" t="inlineStr">
        <is>
          <t>PWR-06</t>
        </is>
      </c>
      <c r="B37" s="15" t="inlineStr">
        <is>
          <t>Battery Cycle Life</t>
        </is>
      </c>
      <c r="C37" s="16" t="inlineStr">
        <is>
          <t>&gt;= 4,000 cycles at 80% Depth of Discharge (DoD) at +25°C; built-in intelligent Battery Management System (BMS).</t>
        </is>
      </c>
      <c r="D37" s="12" t="inlineStr"/>
      <c r="E37" s="13" t="inlineStr"/>
    </row>
    <row r="38">
      <c r="A38" s="9" t="inlineStr">
        <is>
          <t>PWR-07</t>
        </is>
      </c>
      <c r="B38" s="10" t="inlineStr">
        <is>
          <t>Standby Genset</t>
        </is>
      </c>
      <c r="C38" s="11" t="inlineStr">
        <is>
          <t>For Greenfield (Class T4) sites: 15 kVA / 12 kW prime, 230V, 60 Hz diesel generator in sound-attenuated weatherproof canopy (&lt;68dBA @ 7m).</t>
        </is>
      </c>
      <c r="D38" s="12" t="inlineStr"/>
      <c r="E38" s="13" t="inlineStr"/>
    </row>
    <row r="39">
      <c r="A39" s="14" t="inlineStr">
        <is>
          <t>PWR-08</t>
        </is>
      </c>
      <c r="B39" s="15" t="inlineStr">
        <is>
          <t>Fuel Autonomy</t>
        </is>
      </c>
      <c r="C39" s="16" t="inlineStr">
        <is>
          <t>Integrated sub-base fuel tank with minimum 500L–1,000L capacity providing &gt;= 72hours continuous runtime under full load.</t>
        </is>
      </c>
      <c r="D39" s="12" t="inlineStr"/>
      <c r="E39" s="13" t="inlineStr"/>
    </row>
    <row r="40">
      <c r="A40" s="9" t="inlineStr">
        <is>
          <t>PWR-09</t>
        </is>
      </c>
      <c r="B40" s="10" t="inlineStr">
        <is>
          <t>Automatic Transfer (ATS)</t>
        </is>
      </c>
      <c r="C40" s="11" t="inlineStr">
        <is>
          <t>Microprocessor-controlled ATS with 4-pole motorized breaker and mechanical interlock, transferring power within 30 seconds of grid failure.</t>
        </is>
      </c>
      <c r="D40" s="12" t="inlineStr"/>
      <c r="E40" s="13" t="inlineStr"/>
    </row>
    <row r="41">
      <c r="A41" s="14" t="inlineStr">
        <is>
          <t>PWR-10</t>
        </is>
      </c>
      <c r="B41" s="15" t="inlineStr">
        <is>
          <t>Surge Protection</t>
        </is>
      </c>
      <c r="C41" s="16" t="inlineStr">
        <is>
          <t>Coordinated SPD Type 1+2 on AC input (&gt;= 40kA) and DC distribution busbar (&gt;= 20kA).</t>
        </is>
      </c>
      <c r="D41" s="12" t="inlineStr"/>
      <c r="E41" s="13" t="inlineStr"/>
    </row>
    <row r="42">
      <c r="A42" s="9" t="inlineStr">
        <is>
          <t>PWR-11</t>
        </is>
      </c>
      <c r="B42" s="10" t="inlineStr">
        <is>
          <t>TowerCo Tap-Off Kit</t>
        </is>
      </c>
      <c r="C42" s="11" t="inlineStr">
        <is>
          <t>Standardized co-location DC tap box with integrated Class 1.0 revenue-grade kWh energy meter and RS485/Modbus telemetry.</t>
        </is>
      </c>
      <c r="D42" s="12" t="inlineStr"/>
      <c r="E42" s="13" t="inlineStr"/>
    </row>
    <row r="43">
      <c r="A43" s="14" t="inlineStr">
        <is>
          <t>PWR-12</t>
        </is>
      </c>
      <c r="B43" s="15" t="inlineStr">
        <is>
          <t>Grounding &amp; Lightning</t>
        </is>
      </c>
      <c r="C43" s="16" t="inlineStr">
        <is>
          <t>Comprehensive grounding system achieving &lt;= 5.0 Ohms earth electrode resistance; copper busbars and copper-clad steel ground rods.</t>
        </is>
      </c>
      <c r="D43" s="12" t="inlineStr"/>
      <c r="E43" s="13" t="inlineStr"/>
    </row>
    <row r="44" ht="22" customHeight="1">
      <c r="A44" s="8" t="inlineStr">
        <is>
          <t>SECTION 3: 5G CORE NETWORK (5GC SA) &amp; DATACENTER INFRASTRUCTURE</t>
        </is>
      </c>
    </row>
    <row r="45">
      <c r="A45" s="9" t="inlineStr">
        <is>
          <t>5GC-01</t>
        </is>
      </c>
      <c r="B45" s="10" t="inlineStr">
        <is>
          <t>Architecture</t>
        </is>
      </c>
      <c r="C45" s="11" t="inlineStr">
        <is>
          <t>Cloud-native, containerized microservices 5G Standalone (5GC SA) compliant with 3GPP Release 16/17 Service-Based Architecture (SBA).</t>
        </is>
      </c>
      <c r="D45" s="12" t="inlineStr"/>
      <c r="E45" s="13" t="inlineStr"/>
    </row>
    <row r="46">
      <c r="A46" s="14" t="inlineStr">
        <is>
          <t>5GC-02</t>
        </is>
      </c>
      <c r="B46" s="15" t="inlineStr">
        <is>
          <t>Network Functions</t>
        </is>
      </c>
      <c r="C46" s="16" t="inlineStr">
        <is>
          <t>Full NF suite: AMF, SMF, UPF, PCF, UDM, UDR, AUSF, NRF, NSSF, NEF, CHF, and SEPP.</t>
        </is>
      </c>
      <c r="D46" s="12" t="inlineStr"/>
      <c r="E46" s="13" t="inlineStr"/>
    </row>
    <row r="47">
      <c r="A47" s="9" t="inlineStr">
        <is>
          <t>5GC-03</t>
        </is>
      </c>
      <c r="B47" s="10" t="inlineStr">
        <is>
          <t>Subscriber Sizing</t>
        </is>
      </c>
      <c r="C47" s="11" t="inlineStr">
        <is>
          <t>Day-1 licensed capacity: 1,000,000 registered FWA subscribers. Scalable in 500k increments up to 3,000,000 subscribers.</t>
        </is>
      </c>
      <c r="D47" s="12" t="inlineStr"/>
      <c r="E47" s="13" t="inlineStr"/>
    </row>
    <row r="48">
      <c r="A48" s="14" t="inlineStr">
        <is>
          <t>5GC-04</t>
        </is>
      </c>
      <c r="B48" s="15" t="inlineStr">
        <is>
          <t>Geo-Redundancy</t>
        </is>
      </c>
      <c r="C48" s="16" t="inlineStr">
        <is>
          <t>Active-Active geo-redundant dual-datacenter deployment (Metro Manila Primary DC and Clark Pampanga DR DC).</t>
        </is>
      </c>
      <c r="D48" s="12" t="inlineStr"/>
      <c r="E48" s="13" t="inlineStr"/>
    </row>
    <row r="49">
      <c r="A49" s="9" t="inlineStr">
        <is>
          <t>5GC-05</t>
        </is>
      </c>
      <c r="B49" s="10" t="inlineStr">
        <is>
          <t>Session-Preserving Failover</t>
        </is>
      </c>
      <c r="C49" s="11" t="inlineStr">
        <is>
          <t>Automatic subscriber session continuity (zero session loss across UDR/UDM and SMF clusters) and automated user-plane traffic restoration &lt;= 30 seconds during datacenter failure or scheduled DR drill.</t>
        </is>
      </c>
      <c r="D49" s="12" t="inlineStr"/>
      <c r="E49" s="13" t="inlineStr"/>
    </row>
    <row r="50">
      <c r="A50" s="14" t="inlineStr">
        <is>
          <t>5GC-06</t>
        </is>
      </c>
      <c r="B50" s="15" t="inlineStr">
        <is>
          <t>UPF Throughput</t>
        </is>
      </c>
      <c r="C50" s="16" t="inlineStr">
        <is>
          <t>UPF dimensioned for &gt;= 80 Gbps usable wire-speed throughput per 2U dual-socket compute node with DPDK and SR-IOV acceleration.</t>
        </is>
      </c>
      <c r="D50" s="12" t="inlineStr"/>
      <c r="E50" s="13" t="inlineStr"/>
    </row>
    <row r="51">
      <c r="A51" s="9" t="inlineStr">
        <is>
          <t>5GC-07</t>
        </is>
      </c>
      <c r="B51" s="10" t="inlineStr">
        <is>
          <t>Carrier-Grade NAT</t>
        </is>
      </c>
      <c r="C51" s="11" t="inlineStr">
        <is>
          <t>Integrated or inline CG-NAT supporting deterministic port allocation, logging per NTC legal intercept mandate, and 10:1 to 16:1 subscriber ratio.</t>
        </is>
      </c>
      <c r="D51" s="12" t="inlineStr"/>
      <c r="E51" s="13" t="inlineStr"/>
    </row>
    <row r="52">
      <c r="A52" s="14" t="inlineStr">
        <is>
          <t>5GC-08</t>
        </is>
      </c>
      <c r="B52" s="15" t="inlineStr">
        <is>
          <t>Deep Packet Inspection</t>
        </is>
      </c>
      <c r="C52" s="16" t="inlineStr">
        <is>
          <t>Embedded DPI capable of Layer-7 application recognition, speed throttling per subscriber tariff tier, and fair-use policy enforcement.</t>
        </is>
      </c>
      <c r="D52" s="12" t="inlineStr"/>
      <c r="E52" s="13" t="inlineStr"/>
    </row>
    <row r="53">
      <c r="A53" s="9" t="inlineStr">
        <is>
          <t>5GC-09</t>
        </is>
      </c>
      <c r="B53" s="10" t="inlineStr">
        <is>
          <t>QoS &amp; Slicing</t>
        </is>
      </c>
      <c r="C53" s="11" t="inlineStr">
        <is>
          <t>5G QoS Flow mapping (5QI 1, 2, 7, 8, 9) and Network Slicing (S-NSSAI) separating consumer FWA, SME enterprise, and management traffic.</t>
        </is>
      </c>
      <c r="D53" s="12" t="inlineStr"/>
      <c r="E53" s="13" t="inlineStr"/>
    </row>
    <row r="54">
      <c r="A54" s="14" t="inlineStr">
        <is>
          <t>5GC-10</t>
        </is>
      </c>
      <c r="B54" s="15" t="inlineStr">
        <is>
          <t>Datacenter Compute</t>
        </is>
      </c>
      <c r="C54" s="16" t="inlineStr">
        <is>
          <t>Enterprise 2U server nodes (Dual Intel Xeon Gold / AMD EPYC, 512GB RAM, redundant NVMe enterprise SSDs, dual 100GE NICs).</t>
        </is>
      </c>
      <c r="D54" s="12" t="inlineStr"/>
      <c r="E54" s="13" t="inlineStr"/>
    </row>
    <row r="55">
      <c r="A55" s="9" t="inlineStr">
        <is>
          <t>5GC-11</t>
        </is>
      </c>
      <c r="B55" s="10" t="inlineStr">
        <is>
          <t>Datacenter Fabric</t>
        </is>
      </c>
      <c r="C55" s="11" t="inlineStr">
        <is>
          <t>Leaf-spine datacenter networking architecture (32 x 100GE spine switches, 48 x 25GE + 6 x 100GE leaf switches) with EVPN-VXLAN.</t>
        </is>
      </c>
      <c r="D55" s="12" t="inlineStr"/>
      <c r="E55" s="13" t="inlineStr"/>
    </row>
    <row r="56">
      <c r="A56" s="14" t="inlineStr">
        <is>
          <t>5GC-12</t>
        </is>
      </c>
      <c r="B56" s="15" t="inlineStr">
        <is>
          <t>Security &amp; Scrubbing</t>
        </is>
      </c>
      <c r="C56" s="16" t="inlineStr">
        <is>
          <t>Redundant carrier-grade perimeter next-generation firewalls (&gt;= 100 Gbps throughput) and inline anti-DDoS scrubbing appliances.</t>
        </is>
      </c>
      <c r="D56" s="12" t="inlineStr"/>
      <c r="E56" s="13" t="inlineStr"/>
    </row>
    <row r="57" ht="22" customHeight="1">
      <c r="A57" s="8" t="inlineStr">
        <is>
          <t>SECTION 4: CONVERGED DIGITAL OSS/BSS &amp; FIELD FORCE AUTOMATION</t>
        </is>
      </c>
    </row>
    <row r="58">
      <c r="A58" s="9" t="inlineStr">
        <is>
          <t>BSS-01</t>
        </is>
      </c>
      <c r="B58" s="10" t="inlineStr">
        <is>
          <t>Product Catalog &amp; Tariffs</t>
        </is>
      </c>
      <c r="C58" s="11" t="inlineStr">
        <is>
          <t>Configurable telecom product catalog supporting 4 consumer FWA plans (₱599, ₱799, ₱999, ₱1,299), SME tiers, and flexible speed-cap policies.</t>
        </is>
      </c>
      <c r="D58" s="12" t="inlineStr"/>
      <c r="E58" s="13" t="inlineStr"/>
    </row>
    <row r="59">
      <c r="A59" s="14" t="inlineStr">
        <is>
          <t>BSS-02</t>
        </is>
      </c>
      <c r="B59" s="15" t="inlineStr">
        <is>
          <t>Prepaid Charging (CHF)</t>
        </is>
      </c>
      <c r="C59" s="16" t="inlineStr">
        <is>
          <t>Real-time convergent charging system (CCS/CHF) integrated via 3GPP Nchf/Diameter Ro, supporting real-time balance rating and session cutoff.</t>
        </is>
      </c>
      <c r="D59" s="12" t="inlineStr"/>
      <c r="E59" s="13" t="inlineStr"/>
    </row>
    <row r="60">
      <c r="A60" s="9" t="inlineStr">
        <is>
          <t>BSS-03</t>
        </is>
      </c>
      <c r="B60" s="10" t="inlineStr">
        <is>
          <t>Omnichannel Payments</t>
        </is>
      </c>
      <c r="C60" s="11" t="inlineStr">
        <is>
          <t>Native REST API integration with Philippine payment gateways: GCash, Maya (PayMaya), 7-Eleven CLiQQ OTC, Bayad Center, and QR Ph.</t>
        </is>
      </c>
      <c r="D60" s="12" t="inlineStr"/>
      <c r="E60" s="13" t="inlineStr"/>
    </row>
    <row r="61">
      <c r="A61" s="14" t="inlineStr">
        <is>
          <t>BSS-04</t>
        </is>
      </c>
      <c r="B61" s="15" t="inlineStr">
        <is>
          <t>Subscriber Portal &amp; App</t>
        </is>
      </c>
      <c r="C61" s="16" t="inlineStr">
        <is>
          <t>Native Android/iOS subscriber self-care mobile app and responsive web portal for balance checking, online top-up, and speed-test diagnostics.</t>
        </is>
      </c>
      <c r="D61" s="12" t="inlineStr"/>
      <c r="E61" s="13" t="inlineStr"/>
    </row>
    <row r="62">
      <c r="A62" s="9" t="inlineStr">
        <is>
          <t>OSS-01</t>
        </is>
      </c>
      <c r="B62" s="10" t="inlineStr">
        <is>
          <t>Field Force App (FMS)</t>
        </is>
      </c>
      <c r="C62" s="11" t="inlineStr">
        <is>
          <t>Mobile app for field technicians: Real-time work-order dispatch, turn-by-turn navigation, barcode/QR scan of CPE serials, and digital e-signature.</t>
        </is>
      </c>
      <c r="D62" s="12" t="inlineStr"/>
      <c r="E62" s="13" t="inlineStr"/>
    </row>
    <row r="63">
      <c r="A63" s="14" t="inlineStr">
        <is>
          <t>OSS-02</t>
        </is>
      </c>
      <c r="B63" s="15" t="inlineStr">
        <is>
          <t>RF Signal Verification</t>
        </is>
      </c>
      <c r="C63" s="16" t="inlineStr">
        <is>
          <t>Mobile field tool must perform live outdoor RF signal validation (RSRP &gt;= -95 dBm, SINR &gt;= 10 dB) before allowing install closure.</t>
        </is>
      </c>
      <c r="D63" s="12" t="inlineStr"/>
      <c r="E63" s="13" t="inlineStr"/>
    </row>
    <row r="64">
      <c r="A64" s="9" t="inlineStr">
        <is>
          <t>OSS-03</t>
        </is>
      </c>
      <c r="B64" s="10" t="inlineStr">
        <is>
          <t>Dispatch Throughput</t>
        </is>
      </c>
      <c r="C64" s="11" t="inlineStr">
        <is>
          <t>Algorithmic dispatch engine capable of dynamically optimizing and dispatching &gt;= 3,500 installation and maintenance work orders daily.</t>
        </is>
      </c>
      <c r="D64" s="12" t="inlineStr"/>
      <c r="E64" s="13" t="inlineStr"/>
    </row>
    <row r="65">
      <c r="A65" s="14" t="inlineStr">
        <is>
          <t>OSS-04</t>
        </is>
      </c>
      <c r="B65" s="15" t="inlineStr">
        <is>
          <t>CPE Inventory &amp; WMS</t>
        </is>
      </c>
      <c r="C65" s="16" t="inlineStr">
        <is>
          <t>Serialized lifecycle tracking of CPE hardware across central warehouse, technician vehicle float, active subscriber homes, and repossession.</t>
        </is>
      </c>
      <c r="D65" s="12" t="inlineStr"/>
      <c r="E65" s="13" t="inlineStr"/>
    </row>
    <row r="66">
      <c r="A66" s="9" t="inlineStr">
        <is>
          <t>OSS-05</t>
        </is>
      </c>
      <c r="B66" s="10" t="inlineStr">
        <is>
          <t>Reverse Logistics</t>
        </is>
      </c>
      <c r="C66" s="11" t="inlineStr">
        <is>
          <t>Reverse logistics workflow tracking recovered churned CPEs through testing, factory reset, cleaning, re-boxing, and return to stock (&gt;= 70% target).</t>
        </is>
      </c>
      <c r="D66" s="12" t="inlineStr"/>
      <c r="E66" s="13" t="inlineStr"/>
    </row>
    <row r="67">
      <c r="A67" s="14" t="inlineStr">
        <is>
          <t>OSS-06</t>
        </is>
      </c>
      <c r="B67" s="15" t="inlineStr">
        <is>
          <t>Fault &amp; Performance OSS</t>
        </is>
      </c>
      <c r="C67" s="16" t="inlineStr">
        <is>
          <t>Unified multi-vendor EMS/NMS monitoring 5,000 RAN sites, transmission links, and 5G Core with automated RCA and alarm correlation.</t>
        </is>
      </c>
      <c r="D67" s="12" t="inlineStr"/>
      <c r="E67" s="13" t="inlineStr"/>
    </row>
    <row r="68">
      <c r="A68" s="9" t="inlineStr">
        <is>
          <t>OSS-07</t>
        </is>
      </c>
      <c r="B68" s="10" t="inlineStr">
        <is>
          <t>Regulatory Compliance</t>
        </is>
      </c>
      <c r="C68" s="11" t="inlineStr">
        <is>
          <t>Automated generation of quarterly NTC Quality of Service (QoS) and broadband speed performance audit reports.</t>
        </is>
      </c>
      <c r="D68" s="12" t="inlineStr"/>
      <c r="E68" s="13" t="inlineStr"/>
    </row>
    <row r="69" ht="22" customHeight="1">
      <c r="A69" s="8" t="inlineStr">
        <is>
          <t>SECTION 5: RF PLANNING, SITE SURVEY &amp; CLUSTER OPTIMIZATION</t>
        </is>
      </c>
    </row>
    <row r="70">
      <c r="A70" s="14" t="inlineStr">
        <is>
          <t>RFP-01</t>
        </is>
      </c>
      <c r="B70" s="15" t="inlineStr">
        <is>
          <t>Planning Tool</t>
        </is>
      </c>
      <c r="C70" s="16" t="inlineStr">
        <is>
          <t>Carrier-grade RF planning tool (Atoll, Asset, Planet) with high-resolution digital terrain and clutter data (&lt;= 5m resolution).</t>
        </is>
      </c>
      <c r="D70" s="12" t="inlineStr"/>
      <c r="E70" s="13" t="inlineStr"/>
    </row>
    <row r="71">
      <c r="A71" s="9" t="inlineStr">
        <is>
          <t>RFP-02</t>
        </is>
      </c>
      <c r="B71" s="10" t="inlineStr">
        <is>
          <t>Propagation Model</t>
        </is>
      </c>
      <c r="C71" s="11" t="inlineStr">
        <is>
          <t>Calibrated Band n50 (1.5 GHz) 3D ray-tracing / standard propagation model calibrated against local Philippine terrain clutter.</t>
        </is>
      </c>
      <c r="D71" s="12" t="inlineStr"/>
      <c r="E71" s="13" t="inlineStr"/>
    </row>
    <row r="72">
      <c r="A72" s="14" t="inlineStr">
        <is>
          <t>RFP-03</t>
        </is>
      </c>
      <c r="B72" s="15" t="inlineStr">
        <is>
          <t>Nominal Siting &amp; Audit</t>
        </is>
      </c>
      <c r="C72" s="16" t="inlineStr">
        <is>
          <t>Siting validation against 13,746 tower inventory and Converge fiber network backbone routes (subject to verification on the ground); production of candidate search rings.</t>
        </is>
      </c>
      <c r="D72" s="12" t="inlineStr"/>
      <c r="E72" s="13" t="inlineStr"/>
    </row>
    <row r="73">
      <c r="A73" s="9" t="inlineStr">
        <is>
          <t>RFP-04</t>
        </is>
      </c>
      <c r="B73" s="10" t="inlineStr">
        <is>
          <t>Technical Site Survey</t>
        </is>
      </c>
      <c r="C73" s="11" t="inlineStr">
        <is>
          <t>Comprehensive TSSR per site including tower structural load audit, wind-load calculation, panoramic drone photography (360°), and power audit.</t>
        </is>
      </c>
      <c r="D73" s="12" t="inlineStr"/>
      <c r="E73" s="13" t="inlineStr"/>
    </row>
    <row r="74">
      <c r="A74" s="14" t="inlineStr">
        <is>
          <t>RFP-05</t>
        </is>
      </c>
      <c r="B74" s="15" t="inlineStr">
        <is>
          <t>Coverage Target</t>
        </is>
      </c>
      <c r="C74" s="16" t="inlineStr">
        <is>
          <t>Guaranteed outdoor RSRP &gt;= -95 dBm and SINR &gt;= 10 dB across &gt;= 90% of residential settlement footprint in target barangay.</t>
        </is>
      </c>
      <c r="D74" s="12" t="inlineStr"/>
      <c r="E74" s="13" t="inlineStr"/>
    </row>
    <row r="75">
      <c r="A75" s="9" t="inlineStr">
        <is>
          <t>RFP-06</t>
        </is>
      </c>
      <c r="B75" s="10" t="inlineStr">
        <is>
          <t>Single Site Acceptance</t>
        </is>
      </c>
      <c r="C75" s="11" t="inlineStr">
        <is>
          <t>Single Site Verification (SSV) stationary and drive tests verifying sector radiation, antenna RET, PCI, TAC, and max throughput.</t>
        </is>
      </c>
      <c r="D75" s="12" t="inlineStr"/>
      <c r="E75" s="13" t="inlineStr"/>
    </row>
    <row r="76">
      <c r="A76" s="14" t="inlineStr">
        <is>
          <t>RFP-07</t>
        </is>
      </c>
      <c r="B76" s="15" t="inlineStr">
        <is>
          <t>Cluster Tuning</t>
        </is>
      </c>
      <c r="C76" s="16" t="inlineStr">
        <is>
          <t>Cluster optimization across 10–20 site clusters: Interference analysis, tilt/azimuth physical optimization, handover parameter tuning.</t>
        </is>
      </c>
      <c r="D76" s="12" t="inlineStr"/>
      <c r="E76" s="13" t="inlineStr"/>
    </row>
    <row r="77" ht="22" customHeight="1">
      <c r="A77" s="8" t="inlineStr">
        <is>
          <t>SECTION 6: MANAGED SERVICES &amp; 24/7 NETWORK OPERATIONS (MS)</t>
        </is>
      </c>
    </row>
    <row r="78">
      <c r="A78" s="9" t="inlineStr">
        <is>
          <t>MS-01</t>
        </is>
      </c>
      <c r="B78" s="10" t="inlineStr">
        <is>
          <t>24/7 Tier-2/Tier-3 NOC</t>
        </is>
      </c>
      <c r="C78" s="11" t="inlineStr">
        <is>
          <t>Continuous 24/7/365 active monitoring, incident triage, alarm dispatch, and escalation management across all network domains.</t>
        </is>
      </c>
      <c r="D78" s="12" t="inlineStr"/>
      <c r="E78" s="13" t="inlineStr"/>
    </row>
    <row r="79">
      <c r="A79" s="14" t="inlineStr">
        <is>
          <t>MS-02</t>
        </is>
      </c>
      <c r="B79" s="15" t="inlineStr">
        <is>
          <t>Network Availability</t>
        </is>
      </c>
      <c r="C79" s="16" t="inlineStr">
        <is>
          <t>Overall end-to-end radio and core network service availability &gt;= 99.70% monthly SLA.</t>
        </is>
      </c>
      <c r="D79" s="12" t="inlineStr"/>
      <c r="E79" s="13" t="inlineStr"/>
    </row>
    <row r="80">
      <c r="A80" s="9" t="inlineStr">
        <is>
          <t>MS-03</t>
        </is>
      </c>
      <c r="B80" s="10" t="inlineStr">
        <is>
          <t>Critical Incident MTTR</t>
        </is>
      </c>
      <c r="C80" s="11" t="inlineStr">
        <is>
          <t>Mean Time to Restore full service for Critical / Severity-1 outages: &lt;= 2hours in urban areas; &lt;= 4hours in rural areas.</t>
        </is>
      </c>
      <c r="D80" s="12" t="inlineStr"/>
      <c r="E80" s="13" t="inlineStr"/>
    </row>
    <row r="81">
      <c r="A81" s="14" t="inlineStr">
        <is>
          <t>MS-04</t>
        </is>
      </c>
      <c r="B81" s="15" t="inlineStr">
        <is>
          <t>First Line Maint. (FLM)</t>
        </is>
      </c>
      <c r="C81" s="16" t="inlineStr">
        <is>
          <t>Dedicated nationwide field dispatch teams with dedicated 4x4 vehicles, fusion splicers, OTDRs, spectrum analyzers, and climbing gear.</t>
        </is>
      </c>
      <c r="D81" s="12" t="inlineStr"/>
      <c r="E81" s="13" t="inlineStr"/>
    </row>
    <row r="82">
      <c r="A82" s="9" t="inlineStr">
        <is>
          <t>MS-05</t>
        </is>
      </c>
      <c r="B82" s="10" t="inlineStr">
        <is>
          <t>Preventive Maintenance</t>
        </is>
      </c>
      <c r="C82" s="11" t="inlineStr">
        <is>
          <t>Quarterly scheduled site inspections: Antenna bracket torque checks, RF cable weatherproofing, battery impedance tests, genset runs.</t>
        </is>
      </c>
      <c r="D82" s="12" t="inlineStr"/>
      <c r="E82" s="13" t="inlineStr"/>
    </row>
    <row r="83">
      <c r="A83" s="14" t="inlineStr">
        <is>
          <t>MS-06</t>
        </is>
      </c>
      <c r="B83" s="15" t="inlineStr">
        <is>
          <t>Spare Parts Logistics</t>
        </is>
      </c>
      <c r="C83" s="16" t="inlineStr">
        <is>
          <t>Automated SPMS maintaining regional buffer stock; guaranteed Next Business Day (NBD) hardware replacement delivery nationwide.</t>
        </is>
      </c>
      <c r="D83" s="12" t="inlineStr"/>
      <c r="E83" s="13" t="inlineStr"/>
    </row>
    <row r="84" ht="22" customHeight="1">
      <c r="A84" s="8" t="inlineStr">
        <is>
          <t>SECTION 7: 5G CUSTOMER PREMISES EQUIPMENT (CPE - LOT 7)</t>
        </is>
      </c>
    </row>
    <row r="85">
      <c r="A85" s="9" t="inlineStr">
        <is>
          <t>CPE-01</t>
        </is>
      </c>
      <c r="B85" s="10" t="inlineStr">
        <is>
          <t>3GPP Standards &amp; Modes</t>
        </is>
      </c>
      <c r="C85" s="11" t="inlineStr">
        <is>
          <t>3GPP Release 16/17 compliant 5G NR sub-6 GHz Standalone (SA) and Non-Standalone (NSA) operation.</t>
        </is>
      </c>
      <c r="D85" s="12" t="inlineStr"/>
      <c r="E85" s="13" t="inlineStr"/>
    </row>
    <row r="86">
      <c r="A86" s="14" t="inlineStr">
        <is>
          <t>CPE-02</t>
        </is>
      </c>
      <c r="B86" s="15" t="inlineStr">
        <is>
          <t>Frequency Bands</t>
        </is>
      </c>
      <c r="C86" s="16" t="inlineStr">
        <is>
          <t>Native Band n50 (1432 – 1517 MHz, 60 MHz channel bandwidth) plus fallback sub-6 GHz bands (n1, n3, n7, n28, n41, n77, n78).</t>
        </is>
      </c>
      <c r="D86" s="12" t="inlineStr"/>
      <c r="E86" s="13" t="inlineStr"/>
    </row>
    <row r="87">
      <c r="A87" s="9" t="inlineStr">
        <is>
          <t>CPE-03</t>
        </is>
      </c>
      <c r="B87" s="10" t="inlineStr">
        <is>
          <t>Indoor CPE Antenna &amp; MIMO</t>
        </is>
      </c>
      <c r="C87" s="11" t="inlineStr">
        <is>
          <t>High-gain omnidirectional multi-element internal antenna array (minimum &gt;= 8.0 dBi gain across Band n50); 4x4 MIMO DL, 2x2 MIMO UL.</t>
        </is>
      </c>
      <c r="D87" s="12" t="inlineStr"/>
      <c r="E87" s="13" t="inlineStr"/>
    </row>
    <row r="88">
      <c r="A88" s="14" t="inlineStr">
        <is>
          <t>CPE-04</t>
        </is>
      </c>
      <c r="B88" s="15" t="inlineStr">
        <is>
          <t>Outdoor CPE Antenna &amp; MIMO</t>
        </is>
      </c>
      <c r="C88" s="16" t="inlineStr">
        <is>
          <t>High-gain directional integrated antenna array (minimum &gt;= 12.0 dBi gain across Band n50); 4x4 MIMO DL, 2x2 MIMO UL; adjustable pole/wall mounting bracket.</t>
        </is>
      </c>
      <c r="D88" s="12" t="inlineStr"/>
      <c r="E88" s="13" t="inlineStr"/>
    </row>
    <row r="89">
      <c r="A89" s="9" t="inlineStr">
        <is>
          <t>CPE-05</t>
        </is>
      </c>
      <c r="B89" s="10" t="inlineStr">
        <is>
          <t>Wi-Fi Subsystem</t>
        </is>
      </c>
      <c r="C89" s="11" t="inlineStr">
        <is>
          <t>Dual-band Wi-Fi 6 (802.11ax) 2.4 GHz (2x2) and 5 GHz (2x2) concurrent, OFDMA, MU-MIMO, WPA3-Personal encryption.</t>
        </is>
      </c>
      <c r="D89" s="12" t="inlineStr"/>
      <c r="E89" s="13" t="inlineStr"/>
    </row>
    <row r="90">
      <c r="A90" s="14" t="inlineStr">
        <is>
          <t>CPE-06</t>
        </is>
      </c>
      <c r="B90" s="15" t="inlineStr">
        <is>
          <t>Ethernet Interfaces</t>
        </is>
      </c>
      <c r="C90" s="16" t="inlineStr">
        <is>
          <t>Indoor CPE: Minimum 1x 2.5GE + 2x 1GE RJ-45 LAN ports. Outdoor CPE: 1x 2.5GE PoE input port plus companion indoor Wi-Fi 6 router/gateway and 802.3at PoE injector included in kit.</t>
        </is>
      </c>
      <c r="D90" s="12" t="inlineStr"/>
      <c r="E90" s="13" t="inlineStr"/>
    </row>
    <row r="91">
      <c r="A91" s="9" t="inlineStr">
        <is>
          <t>CPE-07</t>
        </is>
      </c>
      <c r="B91" s="10" t="inlineStr">
        <is>
          <t>Environmental Rating</t>
        </is>
      </c>
      <c r="C91" s="11" t="inlineStr">
        <is>
          <t>Outdoor CPE: IP67 dust/water ingress protection, operating temperature -10°C to +55°C, 200 km/h wind survivability. Indoor CPE: IP20, 0°C to +40°C.</t>
        </is>
      </c>
      <c r="D91" s="12" t="inlineStr"/>
      <c r="E91" s="13" t="inlineStr"/>
    </row>
    <row r="92">
      <c r="A92" s="14" t="inlineStr">
        <is>
          <t>CPE-08</t>
        </is>
      </c>
      <c r="B92" s="15" t="inlineStr">
        <is>
          <t>Remote Device Management</t>
        </is>
      </c>
      <c r="C92" s="16" t="inlineStr">
        <is>
          <t>Broadband Forum TR-069 and TR-369 (USP) support with complete TR-181 data model, SNMPv2/v3, and secure ACS provisioning.</t>
        </is>
      </c>
      <c r="D92" s="12" t="inlineStr"/>
      <c r="E92" s="13" t="inlineStr"/>
    </row>
    <row r="93">
      <c r="A93" s="9" t="inlineStr">
        <is>
          <t>CPE-09</t>
        </is>
      </c>
      <c r="B93" s="10" t="inlineStr">
        <is>
          <t>Firmware &amp; Security</t>
        </is>
      </c>
      <c r="C93" s="11" t="inlineStr">
        <is>
          <t>Secure Boot with cryptographic signature verification, automated FOTA (Firmware-Over-The-Air) batch upgrades, and operator lock capability.</t>
        </is>
      </c>
      <c r="D93" s="12" t="inlineStr"/>
      <c r="E93" s="13" t="inlineStr"/>
    </row>
    <row r="94">
      <c r="A94" s="14" t="inlineStr">
        <is>
          <t>CPE-10</t>
        </is>
      </c>
      <c r="B94" s="15" t="inlineStr">
        <is>
          <t>SIM / eSIM Support</t>
        </is>
      </c>
      <c r="C94" s="16" t="inlineStr">
        <is>
          <t>Standard Nano-SIM (4FF) slot with anti-theft locking cover and optional GSMA-compliant eSIM MFF2 footprint.</t>
        </is>
      </c>
      <c r="D94" s="12" t="inlineStr"/>
      <c r="E94" s="13" t="inlineStr"/>
    </row>
    <row r="95">
      <c r="A95" s="9" t="inlineStr">
        <is>
          <t>CPE-11</t>
        </is>
      </c>
      <c r="B95" s="10" t="inlineStr">
        <is>
          <t>Power Supply</t>
        </is>
      </c>
      <c r="C95" s="11" t="inlineStr">
        <is>
          <t>Indoor CPE: 230V AC / 12V DC external adapter (Philippine standard Type A/B plug). Outdoor CPE: 2.5GE-capable 802.3at/bt PoE power injector and 2.5GE WAN indoor gateway companion included.</t>
        </is>
      </c>
      <c r="D95" s="12" t="inlineStr"/>
      <c r="E95" s="13" t="inlineStr"/>
    </row>
    <row r="96">
      <c r="A96" s="14" t="inlineStr">
        <is>
          <t>CPE-12</t>
        </is>
      </c>
      <c r="B96" s="15" t="inlineStr">
        <is>
          <t>Certification &amp; Warranty</t>
        </is>
      </c>
      <c r="C96" s="16" t="inlineStr">
        <is>
          <t>NTC Type Approval compliance, CE/FCC certification, and minimum 24-month hardware replacement warranty (RMA &lt;= 5 business days).</t>
        </is>
      </c>
      <c r="D96" s="12" t="inlineStr"/>
      <c r="E96" s="13" t="inlineStr"/>
    </row>
  </sheetData>
  <mergeCells count="7">
    <mergeCell ref="A77:E77"/>
    <mergeCell ref="A69:E69"/>
    <mergeCell ref="A57:E57"/>
    <mergeCell ref="A10:E10"/>
    <mergeCell ref="A84:E84"/>
    <mergeCell ref="A31:E31"/>
    <mergeCell ref="A44:E44"/>
  </mergeCells>
  <dataValidations count="1">
    <dataValidation sqref="D11 D12 D13 D14 D15 D16 D17 D18 D19 D20 D21 D22 D23 D24 D25 D26 D27 D28 D29 D30 D32 D33 D34 D35 D36 D37 D38 D39 D40 D41 D42 D43 D45 D46 D47 D48 D49 D50 D51 D52 D53 D54 D55 D56 D58 D59 D60 D61 D62 D63 D64 D65 D66 D67 D68 D70 D71 D72 D73 D74 D75 D76 D78 D79 D80 D81 D82 D83 D85 D86 D87 D88 D89 D90 D91 D92 D93 D94 D95 D96" showDropDown="0" showInputMessage="0" showErrorMessage="0" allowBlank="1" errorTitle="Invalid Compliance Rating" error="Please select C, M, or NC from the list" promptTitle="Compliance Rating" prompt="Select C (Compliant), M (Minor Deviation), or NC (Non-Compliant)" type="list">
      <formula1>"C,M,NC"</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showGridLines="1" workbookViewId="0">
      <selection activeCell="A1" sqref="A1"/>
    </sheetView>
  </sheetViews>
  <sheetFormatPr baseColWidth="8" defaultRowHeight="15"/>
  <cols>
    <col width="45" customWidth="1" min="1" max="1"/>
    <col width="18" customWidth="1" min="2" max="2"/>
    <col width="25" customWidth="1" min="3" max="3"/>
    <col width="42" customWidth="1" min="4" max="4"/>
  </cols>
  <sheetData>
    <row r="1">
      <c r="A1" s="2" t="inlineStr">
        <is>
          <t>Appendix A — Technical Compliance Evaluation Scorecard</t>
        </is>
      </c>
    </row>
    <row r="2">
      <c r="A2" s="3" t="inlineStr">
        <is>
          <t>Automated summary metrics calculated dynamically from the Technical Compliance Matrix tab.</t>
        </is>
      </c>
    </row>
    <row r="4">
      <c r="A4" s="17" t="inlineStr">
        <is>
          <t>Evaluation Metric / Compliance Status</t>
        </is>
      </c>
      <c r="B4" s="18" t="inlineStr">
        <is>
          <t>Criteria Code</t>
        </is>
      </c>
      <c r="C4" s="18" t="inlineStr">
        <is>
          <t>Count of Specifications</t>
        </is>
      </c>
      <c r="D4" s="17" t="inlineStr">
        <is>
          <t>Weighting / Status</t>
        </is>
      </c>
    </row>
    <row r="5">
      <c r="A5" s="19" t="inlineStr">
        <is>
          <t>Total Technical Specifications Evaluated</t>
        </is>
      </c>
      <c r="B5" s="20" t="inlineStr">
        <is>
          <t>ALL</t>
        </is>
      </c>
      <c r="C5" s="20" t="n">
        <v>80</v>
      </c>
      <c r="D5" s="21" t="inlineStr">
        <is>
          <t>100.0% Mandatory Scope</t>
        </is>
      </c>
    </row>
    <row r="6">
      <c r="A6" s="19" t="inlineStr">
        <is>
          <t>Full Compliance (Pass - Meets or Exceeds)</t>
        </is>
      </c>
      <c r="B6" s="20" t="inlineStr">
        <is>
          <t>C</t>
        </is>
      </c>
      <c r="C6" s="20">
        <f>COUNTIF('Technical Compliance Matrix'!D10:D150, "C")</f>
        <v/>
      </c>
      <c r="D6" s="21" t="inlineStr">
        <is>
          <t>Full Technical Score (100 pts)</t>
        </is>
      </c>
    </row>
    <row r="7">
      <c r="A7" s="19" t="inlineStr">
        <is>
          <t>Minor Deviation (Subject to Clarification / Remedy)</t>
        </is>
      </c>
      <c r="B7" s="20" t="inlineStr">
        <is>
          <t>M</t>
        </is>
      </c>
      <c r="C7" s="20">
        <f>COUNTIF('Technical Compliance Matrix'!D10:D150, "M")</f>
        <v/>
      </c>
      <c r="D7" s="21" t="inlineStr">
        <is>
          <t>Partial Score (50% pts with accepted remedy)</t>
        </is>
      </c>
    </row>
    <row r="8">
      <c r="A8" s="19" t="inlineStr">
        <is>
          <t>Non-Compliant (Failed Requirement)</t>
        </is>
      </c>
      <c r="B8" s="20" t="inlineStr">
        <is>
          <t>NC</t>
        </is>
      </c>
      <c r="C8" s="20">
        <f>COUNTIF('Technical Compliance Matrix'!D10:D150, "NC")</f>
        <v/>
      </c>
      <c r="D8" s="21" t="inlineStr">
        <is>
          <t>Disqualification if Critical Core/RAN Spec</t>
        </is>
      </c>
    </row>
    <row r="9">
      <c r="A9" s="19" t="inlineStr">
        <is>
          <t>Pending Bidder Evaluation / Blank</t>
        </is>
      </c>
      <c r="B9" s="20" t="inlineStr">
        <is>
          <t>PENDING</t>
        </is>
      </c>
      <c r="C9" s="20">
        <f>COUNTBLANK('Technical Compliance Matrix'!D10:D150) - (141 - 80)</f>
        <v/>
      </c>
      <c r="D9" s="21" t="inlineStr">
        <is>
          <t>Incomplete Submission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2026-10-14T09:16:47Z</dcterms:created>
  <dcterms:modified xsi:type="dcterms:W3CDTF">2026-10-15T03:59:46Z</dcterms:modified>
</cp:coreProperties>
</file>